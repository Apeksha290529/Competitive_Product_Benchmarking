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enchmarking_Data" sheetId="2" state="visible" r:id="rId4"/>
    <sheet name="Gap_Analysis" sheetId="3" state="visible" r:id="rId5"/>
  </sheets>
  <definedNames>
    <definedName function="false" hidden="true" localSheetId="1" name="_xlnm._FilterDatabase" vbProcedure="false">Benchmarking_Data!$A$1:$AE$106</definedName>
    <definedName function="false" hidden="true" localSheetId="2" name="_xlnm._FilterDatabase" vbProcedure="false">Gap_Analysis!$A$1:$L$36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<sst xmlns="http://schemas.openxmlformats.org/spreadsheetml/2006/main" count="1153" uniqueCount="222">
  <si>
    <t xml:space="preserve">Competitive Product Benchmarking &amp; Gap Analysis Tool</t>
  </si>
  <si>
    <t xml:space="preserve">Product: TrackFlow  |  Category: Logistics &amp; Supply Chain Visibility SaaS  |  Competitors: ShipSight, CargoPulse, RouteIQ</t>
  </si>
  <si>
    <t xml:space="preserve">How this workbook is organised</t>
  </si>
  <si>
    <t xml:space="preserve">1. Benchmarking_Data - 105 rows (35 features x 3 competitors) with feature-level and pricing scoring formulas (Step 3).</t>
  </si>
  <si>
    <t xml:space="preserve">2. Gap_Analysis - one row per unique feature, aggregating the best competitor score and classifying/prioritising every gap (Step 4).</t>
  </si>
  <si>
    <t xml:space="preserve">Color legend used throughout</t>
  </si>
  <si>
    <t xml:space="preserve">Blue text = hardcoded input (edit these freely to update the scenario)</t>
  </si>
  <si>
    <t xml:space="preserve">Black text = formula referencing cells on the same sheet</t>
  </si>
  <si>
    <t xml:space="preserve">Green text = formula pulling data from another sheet (Benchmarking_Data)</t>
  </si>
  <si>
    <t xml:space="preserve">Key assumptions (documented here so they're easy to defend in an interview)</t>
  </si>
  <si>
    <t xml:space="preserve">- Availability is scored Yes=1, Partial=0.5, No=0, then weighted by Feature Importance to get a Feature Gap Score.</t>
  </si>
  <si>
    <t xml:space="preserve">- Opportunity Score = Feature Gap Score x Customer Demand Score. It only exists where a real gap (competitor ahead) exists.</t>
  </si>
  <si>
    <t xml:space="preserve">- Priority Level thresholds: &gt;=15 High, &gt;=7 Medium, &gt;0 Low, else Monitor/No Gap. Tune these two numbers to re-run the whole model.</t>
  </si>
  <si>
    <t xml:space="preserve">- 'Pricing Model' reflects each competitor's model; TrackFlow uses a flat 'Subscription - Tiered' plan throughout.</t>
  </si>
  <si>
    <t xml:space="preserve">- UX/Performance/Integration/Support/Mobile/AI/Security scores describe TrackFlow's own platform (constant across rows by design) so they can feed dashboard KPI cards in Step 5.</t>
  </si>
  <si>
    <t xml:space="preserve">Next steps (Step 5 onward)</t>
  </si>
  <si>
    <t xml:space="preserve">- Build the Power BI dashboard (KPI cards, radar chart, positioning map) on top of Gap_Analysis.</t>
  </si>
  <si>
    <t xml:space="preserve">- Convert the Priority Level column into a Now / Next / Later roadmap (High -&gt; NOW, Medium -&gt; NEXT, Low -&gt; LATER).</t>
  </si>
  <si>
    <t xml:space="preserve">Benchmark ID</t>
  </si>
  <si>
    <t xml:space="preserve">Product Name</t>
  </si>
  <si>
    <t xml:space="preserve">Competitor Name</t>
  </si>
  <si>
    <t xml:space="preserve">Product Category</t>
  </si>
  <si>
    <t xml:space="preserve">Feature Category</t>
  </si>
  <si>
    <t xml:space="preserve">Feature Name</t>
  </si>
  <si>
    <t xml:space="preserve">Our Product Availability</t>
  </si>
  <si>
    <t xml:space="preserve">Competitor Availability</t>
  </si>
  <si>
    <t xml:space="preserve">Our Availability Score</t>
  </si>
  <si>
    <t xml:space="preserve">Competitor Availability Score</t>
  </si>
  <si>
    <t xml:space="preserve">Feature Importance Score</t>
  </si>
  <si>
    <t xml:space="preserve">Customer Demand Score</t>
  </si>
  <si>
    <t xml:space="preserve">Customer Rating</t>
  </si>
  <si>
    <t xml:space="preserve">Competitor Rating</t>
  </si>
  <si>
    <t xml:space="preserve">Our Product Price (INR/mo)</t>
  </si>
  <si>
    <t xml:space="preserve">Competitor Price (INR/mo)</t>
  </si>
  <si>
    <t xml:space="preserve">Pricing Model</t>
  </si>
  <si>
    <t xml:space="preserve">UX Score</t>
  </si>
  <si>
    <t xml:space="preserve">Performance Score</t>
  </si>
  <si>
    <t xml:space="preserve">Integration Score</t>
  </si>
  <si>
    <t xml:space="preserve">Customer Support Score</t>
  </si>
  <si>
    <t xml:space="preserve">Mobile App Availability</t>
  </si>
  <si>
    <t xml:space="preserve">AI Capability Score</t>
  </si>
  <si>
    <t xml:space="preserve">Security Score</t>
  </si>
  <si>
    <t xml:space="preserve">Market Share %</t>
  </si>
  <si>
    <t xml:space="preserve">Feature Gap Score</t>
  </si>
  <si>
    <t xml:space="preserve">Competitive Advantage Score</t>
  </si>
  <si>
    <t xml:space="preserve">Opportunity Score</t>
  </si>
  <si>
    <t xml:space="preserve">Price Competitiveness Index</t>
  </si>
  <si>
    <t xml:space="preserve">Priority Level</t>
  </si>
  <si>
    <t xml:space="preserve">Recommended Action</t>
  </si>
  <si>
    <t xml:space="preserve">BM001</t>
  </si>
  <si>
    <t xml:space="preserve">TrackFlow</t>
  </si>
  <si>
    <t xml:space="preserve">ShipSight</t>
  </si>
  <si>
    <t xml:space="preserve">Logistics &amp; Supply Chain Visibility SaaS</t>
  </si>
  <si>
    <t xml:space="preserve">Core Features</t>
  </si>
  <si>
    <t xml:space="preserve">Real-Time Shipment Tracking</t>
  </si>
  <si>
    <t xml:space="preserve">Yes</t>
  </si>
  <si>
    <t xml:space="preserve">Partial</t>
  </si>
  <si>
    <t xml:space="preserve">Subscription - Tiered</t>
  </si>
  <si>
    <t xml:space="preserve">No</t>
  </si>
  <si>
    <t xml:space="preserve">BM002</t>
  </si>
  <si>
    <t xml:space="preserve">CargoPulse</t>
  </si>
  <si>
    <t xml:space="preserve">Per-Shipment Volume-Based</t>
  </si>
  <si>
    <t xml:space="preserve">BM003</t>
  </si>
  <si>
    <t xml:space="preserve">RouteIQ</t>
  </si>
  <si>
    <t xml:space="preserve">Custom Enterprise Quote</t>
  </si>
  <si>
    <t xml:space="preserve">BM004</t>
  </si>
  <si>
    <t xml:space="preserve">Multi-Carrier Integration</t>
  </si>
  <si>
    <t xml:space="preserve">BM005</t>
  </si>
  <si>
    <t xml:space="preserve">BM006</t>
  </si>
  <si>
    <t xml:space="preserve">BM007</t>
  </si>
  <si>
    <t xml:space="preserve">TAT (Turnaround Time) Monitoring</t>
  </si>
  <si>
    <t xml:space="preserve">BM008</t>
  </si>
  <si>
    <t xml:space="preserve">BM009</t>
  </si>
  <si>
    <t xml:space="preserve">BM010</t>
  </si>
  <si>
    <t xml:space="preserve">Exception Management &amp; Alerts</t>
  </si>
  <si>
    <t xml:space="preserve">BM011</t>
  </si>
  <si>
    <t xml:space="preserve">BM012</t>
  </si>
  <si>
    <t xml:space="preserve">BM013</t>
  </si>
  <si>
    <t xml:space="preserve">Order Status Dashboard</t>
  </si>
  <si>
    <t xml:space="preserve">BM014</t>
  </si>
  <si>
    <t xml:space="preserve">BM015</t>
  </si>
  <si>
    <t xml:space="preserve">BM016</t>
  </si>
  <si>
    <t xml:space="preserve">Proof of Delivery (POD) Capture</t>
  </si>
  <si>
    <t xml:space="preserve">BM017</t>
  </si>
  <si>
    <t xml:space="preserve">BM018</t>
  </si>
  <si>
    <t xml:space="preserve">BM019</t>
  </si>
  <si>
    <t xml:space="preserve">Freight Rate Comparison Engine</t>
  </si>
  <si>
    <t xml:space="preserve">BM020</t>
  </si>
  <si>
    <t xml:space="preserve">BM021</t>
  </si>
  <si>
    <t xml:space="preserve">BM022</t>
  </si>
  <si>
    <t xml:space="preserve">Shipment Milestone Notifications</t>
  </si>
  <si>
    <t xml:space="preserve">BM023</t>
  </si>
  <si>
    <t xml:space="preserve">BM024</t>
  </si>
  <si>
    <t xml:space="preserve">BM025</t>
  </si>
  <si>
    <t xml:space="preserve">Advanced Features</t>
  </si>
  <si>
    <t xml:space="preserve">Predictive ETA Calculation</t>
  </si>
  <si>
    <t xml:space="preserve">BM026</t>
  </si>
  <si>
    <t xml:space="preserve">BM027</t>
  </si>
  <si>
    <t xml:space="preserve">BM028</t>
  </si>
  <si>
    <t xml:space="preserve">Automated SOP Trigger Workflows</t>
  </si>
  <si>
    <t xml:space="preserve">BM029</t>
  </si>
  <si>
    <t xml:space="preserve">BM030</t>
  </si>
  <si>
    <t xml:space="preserve">BM031</t>
  </si>
  <si>
    <t xml:space="preserve">Multi-Warehouse Visibility</t>
  </si>
  <si>
    <t xml:space="preserve">BM032</t>
  </si>
  <si>
    <t xml:space="preserve">BM033</t>
  </si>
  <si>
    <t xml:space="preserve">BM034</t>
  </si>
  <si>
    <t xml:space="preserve">Returns &amp; Reverse Logistics Management</t>
  </si>
  <si>
    <t xml:space="preserve">BM035</t>
  </si>
  <si>
    <t xml:space="preserve">BM036</t>
  </si>
  <si>
    <t xml:space="preserve">BM037</t>
  </si>
  <si>
    <t xml:space="preserve">Cross-Border Customs Tracking</t>
  </si>
  <si>
    <t xml:space="preserve">BM038</t>
  </si>
  <si>
    <t xml:space="preserve">BM039</t>
  </si>
  <si>
    <t xml:space="preserve">BM040</t>
  </si>
  <si>
    <t xml:space="preserve">AI Features</t>
  </si>
  <si>
    <t xml:space="preserve">AI-Based Delay Root Cause Analysis</t>
  </si>
  <si>
    <t xml:space="preserve">BM041</t>
  </si>
  <si>
    <t xml:space="preserve">BM042</t>
  </si>
  <si>
    <t xml:space="preserve">BM043</t>
  </si>
  <si>
    <t xml:space="preserve">AI Chatbot for Customer Queries</t>
  </si>
  <si>
    <t xml:space="preserve">BM044</t>
  </si>
  <si>
    <t xml:space="preserve">BM045</t>
  </si>
  <si>
    <t xml:space="preserve">BM046</t>
  </si>
  <si>
    <t xml:space="preserve">Shipment Anomaly Detection</t>
  </si>
  <si>
    <t xml:space="preserve">BM047</t>
  </si>
  <si>
    <t xml:space="preserve">BM048</t>
  </si>
  <si>
    <t xml:space="preserve">BM049</t>
  </si>
  <si>
    <t xml:space="preserve">AI-Based Demand Forecasting</t>
  </si>
  <si>
    <t xml:space="preserve">BM050</t>
  </si>
  <si>
    <t xml:space="preserve">BM051</t>
  </si>
  <si>
    <t xml:space="preserve">BM052</t>
  </si>
  <si>
    <t xml:space="preserve">Integrations</t>
  </si>
  <si>
    <t xml:space="preserve">ERP Integration (SAP/Oracle)</t>
  </si>
  <si>
    <t xml:space="preserve">BM053</t>
  </si>
  <si>
    <t xml:space="preserve">BM054</t>
  </si>
  <si>
    <t xml:space="preserve">BM055</t>
  </si>
  <si>
    <t xml:space="preserve">WMS Integration</t>
  </si>
  <si>
    <t xml:space="preserve">BM056</t>
  </si>
  <si>
    <t xml:space="preserve">BM057</t>
  </si>
  <si>
    <t xml:space="preserve">BM058</t>
  </si>
  <si>
    <t xml:space="preserve">E-commerce Platform Integration</t>
  </si>
  <si>
    <t xml:space="preserve">BM059</t>
  </si>
  <si>
    <t xml:space="preserve">BM060</t>
  </si>
  <si>
    <t xml:space="preserve">BM061</t>
  </si>
  <si>
    <t xml:space="preserve">Open API for Custom Integration</t>
  </si>
  <si>
    <t xml:space="preserve">BM062</t>
  </si>
  <si>
    <t xml:space="preserve">BM063</t>
  </si>
  <si>
    <t xml:space="preserve">BM064</t>
  </si>
  <si>
    <t xml:space="preserve">Automation</t>
  </si>
  <si>
    <t xml:space="preserve">Auto-Escalation of Delayed Shipments</t>
  </si>
  <si>
    <t xml:space="preserve">BM065</t>
  </si>
  <si>
    <t xml:space="preserve">BM066</t>
  </si>
  <si>
    <t xml:space="preserve">BM067</t>
  </si>
  <si>
    <t xml:space="preserve">Automated Customer Notifications</t>
  </si>
  <si>
    <t xml:space="preserve">BM068</t>
  </si>
  <si>
    <t xml:space="preserve">BM069</t>
  </si>
  <si>
    <t xml:space="preserve">BM070</t>
  </si>
  <si>
    <t xml:space="preserve">Auto-Generated KPI Reports</t>
  </si>
  <si>
    <t xml:space="preserve">BM071</t>
  </si>
  <si>
    <t xml:space="preserve">BM072</t>
  </si>
  <si>
    <t xml:space="preserve">BM073</t>
  </si>
  <si>
    <t xml:space="preserve">Reporting &amp; Analytics</t>
  </si>
  <si>
    <t xml:space="preserve">Custom Report Builder</t>
  </si>
  <si>
    <t xml:space="preserve">BM074</t>
  </si>
  <si>
    <t xml:space="preserve">BM075</t>
  </si>
  <si>
    <t xml:space="preserve">BM076</t>
  </si>
  <si>
    <t xml:space="preserve">Real-Time Analytics Dashboard</t>
  </si>
  <si>
    <t xml:space="preserve">BM077</t>
  </si>
  <si>
    <t xml:space="preserve">BM078</t>
  </si>
  <si>
    <t xml:space="preserve">BM079</t>
  </si>
  <si>
    <t xml:space="preserve">Historical TAT Trend Analysis</t>
  </si>
  <si>
    <t xml:space="preserve">BM080</t>
  </si>
  <si>
    <t xml:space="preserve">BM081</t>
  </si>
  <si>
    <t xml:space="preserve">BM082</t>
  </si>
  <si>
    <t xml:space="preserve">Mobile Experience</t>
  </si>
  <si>
    <t xml:space="preserve">Mobile App for Field Staff</t>
  </si>
  <si>
    <t xml:space="preserve">BM083</t>
  </si>
  <si>
    <t xml:space="preserve">BM084</t>
  </si>
  <si>
    <t xml:space="preserve">BM085</t>
  </si>
  <si>
    <t xml:space="preserve">Driver Navigation App</t>
  </si>
  <si>
    <t xml:space="preserve">BM086</t>
  </si>
  <si>
    <t xml:space="preserve">BM087</t>
  </si>
  <si>
    <t xml:space="preserve">BM088</t>
  </si>
  <si>
    <t xml:space="preserve">Security</t>
  </si>
  <si>
    <t xml:space="preserve">Role-Based Access Control</t>
  </si>
  <si>
    <t xml:space="preserve">BM089</t>
  </si>
  <si>
    <t xml:space="preserve">BM090</t>
  </si>
  <si>
    <t xml:space="preserve">BM091</t>
  </si>
  <si>
    <t xml:space="preserve">Data Encryption &amp; ISO Compliance</t>
  </si>
  <si>
    <t xml:space="preserve">BM092</t>
  </si>
  <si>
    <t xml:space="preserve">BM093</t>
  </si>
  <si>
    <t xml:space="preserve">BM094</t>
  </si>
  <si>
    <t xml:space="preserve">Audit Trail Logging</t>
  </si>
  <si>
    <t xml:space="preserve">BM095</t>
  </si>
  <si>
    <t xml:space="preserve">BM096</t>
  </si>
  <si>
    <t xml:space="preserve">BM097</t>
  </si>
  <si>
    <t xml:space="preserve">Collaboration</t>
  </si>
  <si>
    <t xml:space="preserve">Multi-Stakeholder Communication Portal</t>
  </si>
  <si>
    <t xml:space="preserve">BM098</t>
  </si>
  <si>
    <t xml:space="preserve">BM099</t>
  </si>
  <si>
    <t xml:space="preserve">BM100</t>
  </si>
  <si>
    <t xml:space="preserve">Cross-Office Regional Reporting</t>
  </si>
  <si>
    <t xml:space="preserve">BM101</t>
  </si>
  <si>
    <t xml:space="preserve">BM102</t>
  </si>
  <si>
    <t xml:space="preserve">BM103</t>
  </si>
  <si>
    <t xml:space="preserve">Customization</t>
  </si>
  <si>
    <t xml:space="preserve">Custom Dashboard Builder</t>
  </si>
  <si>
    <t xml:space="preserve">BM104</t>
  </si>
  <si>
    <t xml:space="preserve">BM105</t>
  </si>
  <si>
    <t xml:space="preserve">Best Competitor Availability Score</t>
  </si>
  <si>
    <t xml:space="preserve">Feature Importance</t>
  </si>
  <si>
    <t xml:space="preserve">Gap Status</t>
  </si>
  <si>
    <t xml:space="preserve">Weighted Gap Size</t>
  </si>
  <si>
    <t xml:space="preserve">Gap Type Classification</t>
  </si>
  <si>
    <t xml:space="preserve">Summary Metrics</t>
  </si>
  <si>
    <t xml:space="preserve">Total Features Analyzed</t>
  </si>
  <si>
    <t xml:space="preserve">High Priority Gaps</t>
  </si>
  <si>
    <t xml:space="preserve">Medium Priority Gaps</t>
  </si>
  <si>
    <t xml:space="preserve">Low Priority Gaps</t>
  </si>
  <si>
    <t xml:space="preserve">Competitive Advantages (No Gap)</t>
  </si>
  <si>
    <t xml:space="preserve">Overall Feature Coverage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</si>
</sst>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6" min="15" style="0" width="14"/>
    <col collapsed="false" customWidth="true" hidden="false" outlineLevel="0" max="17" min="17" style="0" width="20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2" min="21" style="0" width="12"/>
    <col collapsed="false" customWidth="true" hidden="false" outlineLevel="0" max="24" min="23" style="0" width="10"/>
    <col collapsed="false" customWidth="true" hidden="false" outlineLevel="0" max="26" min="25" style="0" width="11"/>
    <col collapsed="false" customWidth="true" hidden="false" outlineLevel="0" max="27" min="27" style="0" width="12"/>
    <col collapsed="false" customWidth="true" hidden="false" outlineLevel="0" max="28" min="28" style="0" width="11"/>
    <col collapsed="false" customWidth="true" hidden="false" outlineLevel="0" max="29" min="29" style="0" width="12"/>
    <col collapsed="false" customWidth="true" hidden="false" outlineLevel="0" max="30" min="30" style="0" width="16"/>
    <col collapsed="false" customWidth="true" hidden="false" outlineLevel="0" max="31" min="31" style="0" width="30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</row>
    <row r="2" customFormat="false" ht="23.85" hidden="false" customHeight="false" outlineLevel="0" collapsed="false">
      <c r="A2" s="6" t="s">
        <v>49</v>
      </c>
      <c r="B2" s="7" t="s">
        <v>50</v>
      </c>
      <c r="C2" s="7" t="s">
        <v>51</v>
      </c>
      <c r="D2" s="6" t="s">
        <v>52</v>
      </c>
      <c r="E2" s="6" t="s">
        <v>53</v>
      </c>
      <c r="F2" s="7" t="s">
        <v>54</v>
      </c>
      <c r="G2" s="6" t="s">
        <v>55</v>
      </c>
      <c r="H2" s="6" t="s">
        <v>56</v>
      </c>
      <c r="I2" s="8" t="n">
        <f aca="false">IF(G2="Yes",1,IF(G2="Partial",0.5,0))</f>
        <v>1</v>
      </c>
      <c r="J2" s="8" t="n">
        <f aca="false">IF(H2="Yes",1,IF(H2="Partial",0.5,0))</f>
        <v>0.5</v>
      </c>
      <c r="K2" s="6" t="n">
        <v>5</v>
      </c>
      <c r="L2" s="6" t="n">
        <v>5</v>
      </c>
      <c r="M2" s="6" t="n">
        <v>4.1</v>
      </c>
      <c r="N2" s="6" t="n">
        <v>4</v>
      </c>
      <c r="O2" s="6" t="n">
        <v>42000</v>
      </c>
      <c r="P2" s="6" t="n">
        <v>58000</v>
      </c>
      <c r="Q2" s="7" t="s">
        <v>57</v>
      </c>
      <c r="R2" s="6" t="n">
        <v>4</v>
      </c>
      <c r="S2" s="6" t="n">
        <v>4</v>
      </c>
      <c r="T2" s="6" t="n">
        <v>4</v>
      </c>
      <c r="U2" s="6" t="n">
        <v>5</v>
      </c>
      <c r="V2" s="6" t="s">
        <v>58</v>
      </c>
      <c r="W2" s="6" t="n">
        <v>2</v>
      </c>
      <c r="X2" s="6" t="n">
        <v>4</v>
      </c>
      <c r="Y2" s="6" t="n">
        <v>22</v>
      </c>
      <c r="Z2" s="6" t="n">
        <f aca="false">(J2-I2)*K2</f>
        <v>-2.5</v>
      </c>
      <c r="AA2" s="8" t="n">
        <f aca="false">IF(Z2&lt;0,ABS(Z2),0)</f>
        <v>2.5</v>
      </c>
      <c r="AB2" s="8" t="n">
        <f aca="false">IF(Z2&gt;0,Z2*L2,0)</f>
        <v>0</v>
      </c>
      <c r="AC2" s="8" t="n">
        <f aca="false">O2/P2</f>
        <v>0.724137931034483</v>
      </c>
      <c r="AD2" s="9" t="str">
        <f aca="false">IF(AB2&gt;=15,"High Priority",IF(AB2&gt;=7,"Medium Priority",IF(AB2&gt;0,"Low Priority","Monitor / No Gap")))</f>
        <v>Monitor / No Gap</v>
      </c>
      <c r="AE2" s="10" t="str">
        <f aca="false">IF(AD2="High Priority","Build Immediately - Critical Feature Gap",IF(AD2="Medium Priority","Plan for Next Roadmap Cycle",IF(AD2="Low Priority","Monitor &amp; Reassess Quarterly","No Action - Parity or Competitive Advantage")))</f>
        <v>No Action - Parity or Competitive Advantage</v>
      </c>
    </row>
    <row r="3" customFormat="false" ht="23.85" hidden="false" customHeight="false" outlineLevel="0" collapsed="false">
      <c r="A3" s="6" t="s">
        <v>59</v>
      </c>
      <c r="B3" s="7" t="s">
        <v>50</v>
      </c>
      <c r="C3" s="7" t="s">
        <v>60</v>
      </c>
      <c r="D3" s="6" t="s">
        <v>52</v>
      </c>
      <c r="E3" s="6" t="s">
        <v>53</v>
      </c>
      <c r="F3" s="7" t="s">
        <v>54</v>
      </c>
      <c r="G3" s="6" t="s">
        <v>55</v>
      </c>
      <c r="H3" s="6" t="s">
        <v>55</v>
      </c>
      <c r="I3" s="8" t="n">
        <f aca="false">IF(G3="Yes",1,IF(G3="Partial",0.5,0))</f>
        <v>1</v>
      </c>
      <c r="J3" s="8" t="n">
        <f aca="false">IF(H3="Yes",1,IF(H3="Partial",0.5,0))</f>
        <v>1</v>
      </c>
      <c r="K3" s="6" t="n">
        <v>5</v>
      </c>
      <c r="L3" s="6" t="n">
        <v>5</v>
      </c>
      <c r="M3" s="6" t="n">
        <v>4.1</v>
      </c>
      <c r="N3" s="6" t="n">
        <v>4.2</v>
      </c>
      <c r="O3" s="6" t="n">
        <v>42000</v>
      </c>
      <c r="P3" s="6" t="n">
        <v>32000</v>
      </c>
      <c r="Q3" s="7" t="s">
        <v>61</v>
      </c>
      <c r="R3" s="6" t="n">
        <v>4</v>
      </c>
      <c r="S3" s="6" t="n">
        <v>4</v>
      </c>
      <c r="T3" s="6" t="n">
        <v>4</v>
      </c>
      <c r="U3" s="6" t="n">
        <v>5</v>
      </c>
      <c r="V3" s="6" t="s">
        <v>58</v>
      </c>
      <c r="W3" s="6" t="n">
        <v>2</v>
      </c>
      <c r="X3" s="6" t="n">
        <v>4</v>
      </c>
      <c r="Y3" s="6" t="n">
        <v>15</v>
      </c>
      <c r="Z3" s="6" t="n">
        <f aca="false">(J3-I3)*K3</f>
        <v>0</v>
      </c>
      <c r="AA3" s="8" t="n">
        <f aca="false">IF(Z3&lt;0,ABS(Z3),0)</f>
        <v>0</v>
      </c>
      <c r="AB3" s="8" t="n">
        <f aca="false">IF(Z3&gt;0,Z3*L3,0)</f>
        <v>0</v>
      </c>
      <c r="AC3" s="8" t="n">
        <f aca="false">O3/P3</f>
        <v>1.3125</v>
      </c>
      <c r="AD3" s="9" t="str">
        <f aca="false">IF(AB3&gt;=15,"High Priority",IF(AB3&gt;=7,"Medium Priority",IF(AB3&gt;0,"Low Priority","Monitor / No Gap")))</f>
        <v>Monitor / No Gap</v>
      </c>
      <c r="AE3" s="10" t="str">
        <f aca="false">IF(AD3="High Priority","Build Immediately - Critical Feature Gap",IF(AD3="Medium Priority","Plan for Next Roadmap Cycle",IF(AD3="Low Priority","Monitor &amp; Reassess Quarterly","No Action - Parity or Competitive Advantage")))</f>
        <v>No Action - Parity or Competitive Advantage</v>
      </c>
    </row>
    <row r="4" customFormat="false" ht="23.85" hidden="false" customHeight="false" outlineLevel="0" collapsed="false">
      <c r="A4" s="6" t="s">
        <v>62</v>
      </c>
      <c r="B4" s="7" t="s">
        <v>50</v>
      </c>
      <c r="C4" s="7" t="s">
        <v>63</v>
      </c>
      <c r="D4" s="6" t="s">
        <v>52</v>
      </c>
      <c r="E4" s="6" t="s">
        <v>53</v>
      </c>
      <c r="F4" s="7" t="s">
        <v>54</v>
      </c>
      <c r="G4" s="6" t="s">
        <v>55</v>
      </c>
      <c r="H4" s="6" t="s">
        <v>58</v>
      </c>
      <c r="I4" s="8" t="n">
        <f aca="false">IF(G4="Yes",1,IF(G4="Partial",0.5,0))</f>
        <v>1</v>
      </c>
      <c r="J4" s="8" t="n">
        <f aca="false">IF(H4="Yes",1,IF(H4="Partial",0.5,0))</f>
        <v>0</v>
      </c>
      <c r="K4" s="6" t="n">
        <v>5</v>
      </c>
      <c r="L4" s="6" t="n">
        <v>5</v>
      </c>
      <c r="M4" s="6" t="n">
        <v>4.1</v>
      </c>
      <c r="N4" s="6" t="n">
        <v>3.4</v>
      </c>
      <c r="O4" s="6" t="n">
        <v>42000</v>
      </c>
      <c r="P4" s="6" t="n">
        <v>47000</v>
      </c>
      <c r="Q4" s="7" t="s">
        <v>64</v>
      </c>
      <c r="R4" s="6" t="n">
        <v>4</v>
      </c>
      <c r="S4" s="6" t="n">
        <v>4</v>
      </c>
      <c r="T4" s="6" t="n">
        <v>4</v>
      </c>
      <c r="U4" s="6" t="n">
        <v>5</v>
      </c>
      <c r="V4" s="6" t="s">
        <v>58</v>
      </c>
      <c r="W4" s="6" t="n">
        <v>2</v>
      </c>
      <c r="X4" s="6" t="n">
        <v>4</v>
      </c>
      <c r="Y4" s="6" t="n">
        <v>18</v>
      </c>
      <c r="Z4" s="6" t="n">
        <f aca="false">(J4-I4)*K4</f>
        <v>-5</v>
      </c>
      <c r="AA4" s="8" t="n">
        <f aca="false">IF(Z4&lt;0,ABS(Z4),0)</f>
        <v>5</v>
      </c>
      <c r="AB4" s="8" t="n">
        <f aca="false">IF(Z4&gt;0,Z4*L4,0)</f>
        <v>0</v>
      </c>
      <c r="AC4" s="8" t="n">
        <f aca="false">O4/P4</f>
        <v>0.893617021276596</v>
      </c>
      <c r="AD4" s="9" t="str">
        <f aca="false">IF(AB4&gt;=15,"High Priority",IF(AB4&gt;=7,"Medium Priority",IF(AB4&gt;0,"Low Priority","Monitor / No Gap")))</f>
        <v>Monitor / No Gap</v>
      </c>
      <c r="AE4" s="10" t="str">
        <f aca="false">IF(AD4="High Priority","Build Immediately - Critical Feature Gap",IF(AD4="Medium Priority","Plan for Next Roadmap Cycle",IF(AD4="Low Priority","Monitor &amp; Reassess Quarterly","No Action - Parity or Competitive Advantage")))</f>
        <v>No Action - Parity or Competitive Advantage</v>
      </c>
    </row>
    <row r="5" customFormat="false" ht="23.85" hidden="false" customHeight="false" outlineLevel="0" collapsed="false">
      <c r="A5" s="6" t="s">
        <v>65</v>
      </c>
      <c r="B5" s="7" t="s">
        <v>50</v>
      </c>
      <c r="C5" s="7" t="s">
        <v>51</v>
      </c>
      <c r="D5" s="6" t="s">
        <v>52</v>
      </c>
      <c r="E5" s="6" t="s">
        <v>53</v>
      </c>
      <c r="F5" s="7" t="s">
        <v>66</v>
      </c>
      <c r="G5" s="6" t="s">
        <v>55</v>
      </c>
      <c r="H5" s="6" t="s">
        <v>55</v>
      </c>
      <c r="I5" s="8" t="n">
        <f aca="false">IF(G5="Yes",1,IF(G5="Partial",0.5,0))</f>
        <v>1</v>
      </c>
      <c r="J5" s="8" t="n">
        <f aca="false">IF(H5="Yes",1,IF(H5="Partial",0.5,0))</f>
        <v>1</v>
      </c>
      <c r="K5" s="6" t="n">
        <v>5</v>
      </c>
      <c r="L5" s="6" t="n">
        <v>4</v>
      </c>
      <c r="M5" s="6" t="n">
        <v>4.1</v>
      </c>
      <c r="N5" s="6" t="n">
        <v>4.5</v>
      </c>
      <c r="O5" s="6" t="n">
        <v>42000</v>
      </c>
      <c r="P5" s="6" t="n">
        <v>58000</v>
      </c>
      <c r="Q5" s="7" t="s">
        <v>57</v>
      </c>
      <c r="R5" s="6" t="n">
        <v>4</v>
      </c>
      <c r="S5" s="6" t="n">
        <v>4</v>
      </c>
      <c r="T5" s="6" t="n">
        <v>4</v>
      </c>
      <c r="U5" s="6" t="n">
        <v>5</v>
      </c>
      <c r="V5" s="6" t="s">
        <v>58</v>
      </c>
      <c r="W5" s="6" t="n">
        <v>2</v>
      </c>
      <c r="X5" s="6" t="n">
        <v>4</v>
      </c>
      <c r="Y5" s="6" t="n">
        <v>22</v>
      </c>
      <c r="Z5" s="6" t="n">
        <f aca="false">(J5-I5)*K5</f>
        <v>0</v>
      </c>
      <c r="AA5" s="8" t="n">
        <f aca="false">IF(Z5&lt;0,ABS(Z5),0)</f>
        <v>0</v>
      </c>
      <c r="AB5" s="8" t="n">
        <f aca="false">IF(Z5&gt;0,Z5*L5,0)</f>
        <v>0</v>
      </c>
      <c r="AC5" s="8" t="n">
        <f aca="false">O5/P5</f>
        <v>0.724137931034483</v>
      </c>
      <c r="AD5" s="9" t="str">
        <f aca="false">IF(AB5&gt;=15,"High Priority",IF(AB5&gt;=7,"Medium Priority",IF(AB5&gt;0,"Low Priority","Monitor / No Gap")))</f>
        <v>Monitor / No Gap</v>
      </c>
      <c r="AE5" s="10" t="str">
        <f aca="false">IF(AD5="High Priority","Build Immediately - Critical Feature Gap",IF(AD5="Medium Priority","Plan for Next Roadmap Cycle",IF(AD5="Low Priority","Monitor &amp; Reassess Quarterly","No Action - Parity or Competitive Advantage")))</f>
        <v>No Action - Parity or Competitive Advantage</v>
      </c>
    </row>
    <row r="6" customFormat="false" ht="23.85" hidden="false" customHeight="false" outlineLevel="0" collapsed="false">
      <c r="A6" s="6" t="s">
        <v>67</v>
      </c>
      <c r="B6" s="7" t="s">
        <v>50</v>
      </c>
      <c r="C6" s="7" t="s">
        <v>60</v>
      </c>
      <c r="D6" s="6" t="s">
        <v>52</v>
      </c>
      <c r="E6" s="6" t="s">
        <v>53</v>
      </c>
      <c r="F6" s="7" t="s">
        <v>66</v>
      </c>
      <c r="G6" s="6" t="s">
        <v>55</v>
      </c>
      <c r="H6" s="6" t="s">
        <v>55</v>
      </c>
      <c r="I6" s="8" t="n">
        <f aca="false">IF(G6="Yes",1,IF(G6="Partial",0.5,0))</f>
        <v>1</v>
      </c>
      <c r="J6" s="8" t="n">
        <f aca="false">IF(H6="Yes",1,IF(H6="Partial",0.5,0))</f>
        <v>1</v>
      </c>
      <c r="K6" s="6" t="n">
        <v>5</v>
      </c>
      <c r="L6" s="6" t="n">
        <v>4</v>
      </c>
      <c r="M6" s="6" t="n">
        <v>4.1</v>
      </c>
      <c r="N6" s="6" t="n">
        <v>4</v>
      </c>
      <c r="O6" s="6" t="n">
        <v>42000</v>
      </c>
      <c r="P6" s="6" t="n">
        <v>32000</v>
      </c>
      <c r="Q6" s="7" t="s">
        <v>61</v>
      </c>
      <c r="R6" s="6" t="n">
        <v>4</v>
      </c>
      <c r="S6" s="6" t="n">
        <v>4</v>
      </c>
      <c r="T6" s="6" t="n">
        <v>4</v>
      </c>
      <c r="U6" s="6" t="n">
        <v>5</v>
      </c>
      <c r="V6" s="6" t="s">
        <v>58</v>
      </c>
      <c r="W6" s="6" t="n">
        <v>2</v>
      </c>
      <c r="X6" s="6" t="n">
        <v>4</v>
      </c>
      <c r="Y6" s="6" t="n">
        <v>15</v>
      </c>
      <c r="Z6" s="6" t="n">
        <f aca="false">(J6-I6)*K6</f>
        <v>0</v>
      </c>
      <c r="AA6" s="8" t="n">
        <f aca="false">IF(Z6&lt;0,ABS(Z6),0)</f>
        <v>0</v>
      </c>
      <c r="AB6" s="8" t="n">
        <f aca="false">IF(Z6&gt;0,Z6*L6,0)</f>
        <v>0</v>
      </c>
      <c r="AC6" s="8" t="n">
        <f aca="false">O6/P6</f>
        <v>1.3125</v>
      </c>
      <c r="AD6" s="9" t="str">
        <f aca="false">IF(AB6&gt;=15,"High Priority",IF(AB6&gt;=7,"Medium Priority",IF(AB6&gt;0,"Low Priority","Monitor / No Gap")))</f>
        <v>Monitor / No Gap</v>
      </c>
      <c r="AE6" s="10" t="str">
        <f aca="false">IF(AD6="High Priority","Build Immediately - Critical Feature Gap",IF(AD6="Medium Priority","Plan for Next Roadmap Cycle",IF(AD6="Low Priority","Monitor &amp; Reassess Quarterly","No Action - Parity or Competitive Advantage")))</f>
        <v>No Action - Parity or Competitive Advantage</v>
      </c>
    </row>
    <row r="7" customFormat="false" ht="23.85" hidden="false" customHeight="false" outlineLevel="0" collapsed="false">
      <c r="A7" s="6" t="s">
        <v>68</v>
      </c>
      <c r="B7" s="7" t="s">
        <v>50</v>
      </c>
      <c r="C7" s="7" t="s">
        <v>63</v>
      </c>
      <c r="D7" s="6" t="s">
        <v>52</v>
      </c>
      <c r="E7" s="6" t="s">
        <v>53</v>
      </c>
      <c r="F7" s="7" t="s">
        <v>66</v>
      </c>
      <c r="G7" s="6" t="s">
        <v>55</v>
      </c>
      <c r="H7" s="6" t="s">
        <v>55</v>
      </c>
      <c r="I7" s="8" t="n">
        <f aca="false">IF(G7="Yes",1,IF(G7="Partial",0.5,0))</f>
        <v>1</v>
      </c>
      <c r="J7" s="8" t="n">
        <f aca="false">IF(H7="Yes",1,IF(H7="Partial",0.5,0))</f>
        <v>1</v>
      </c>
      <c r="K7" s="6" t="n">
        <v>5</v>
      </c>
      <c r="L7" s="6" t="n">
        <v>4</v>
      </c>
      <c r="M7" s="6" t="n">
        <v>4.1</v>
      </c>
      <c r="N7" s="6" t="n">
        <v>4.2</v>
      </c>
      <c r="O7" s="6" t="n">
        <v>42000</v>
      </c>
      <c r="P7" s="6" t="n">
        <v>47000</v>
      </c>
      <c r="Q7" s="7" t="s">
        <v>64</v>
      </c>
      <c r="R7" s="6" t="n">
        <v>4</v>
      </c>
      <c r="S7" s="6" t="n">
        <v>4</v>
      </c>
      <c r="T7" s="6" t="n">
        <v>4</v>
      </c>
      <c r="U7" s="6" t="n">
        <v>5</v>
      </c>
      <c r="V7" s="6" t="s">
        <v>58</v>
      </c>
      <c r="W7" s="6" t="n">
        <v>2</v>
      </c>
      <c r="X7" s="6" t="n">
        <v>4</v>
      </c>
      <c r="Y7" s="6" t="n">
        <v>18</v>
      </c>
      <c r="Z7" s="6" t="n">
        <f aca="false">(J7-I7)*K7</f>
        <v>0</v>
      </c>
      <c r="AA7" s="8" t="n">
        <f aca="false">IF(Z7&lt;0,ABS(Z7),0)</f>
        <v>0</v>
      </c>
      <c r="AB7" s="8" t="n">
        <f aca="false">IF(Z7&gt;0,Z7*L7,0)</f>
        <v>0</v>
      </c>
      <c r="AC7" s="8" t="n">
        <f aca="false">O7/P7</f>
        <v>0.893617021276596</v>
      </c>
      <c r="AD7" s="9" t="str">
        <f aca="false">IF(AB7&gt;=15,"High Priority",IF(AB7&gt;=7,"Medium Priority",IF(AB7&gt;0,"Low Priority","Monitor / No Gap")))</f>
        <v>Monitor / No Gap</v>
      </c>
      <c r="AE7" s="10" t="str">
        <f aca="false">IF(AD7="High Priority","Build Immediately - Critical Feature Gap",IF(AD7="Medium Priority","Plan for Next Roadmap Cycle",IF(AD7="Low Priority","Monitor &amp; Reassess Quarterly","No Action - Parity or Competitive Advantage")))</f>
        <v>No Action - Parity or Competitive Advantage</v>
      </c>
    </row>
    <row r="8" customFormat="false" ht="23.85" hidden="false" customHeight="false" outlineLevel="0" collapsed="false">
      <c r="A8" s="6" t="s">
        <v>69</v>
      </c>
      <c r="B8" s="7" t="s">
        <v>50</v>
      </c>
      <c r="C8" s="7" t="s">
        <v>51</v>
      </c>
      <c r="D8" s="6" t="s">
        <v>52</v>
      </c>
      <c r="E8" s="6" t="s">
        <v>53</v>
      </c>
      <c r="F8" s="7" t="s">
        <v>70</v>
      </c>
      <c r="G8" s="6" t="s">
        <v>55</v>
      </c>
      <c r="H8" s="6" t="s">
        <v>58</v>
      </c>
      <c r="I8" s="8" t="n">
        <f aca="false">IF(G8="Yes",1,IF(G8="Partial",0.5,0))</f>
        <v>1</v>
      </c>
      <c r="J8" s="8" t="n">
        <f aca="false">IF(H8="Yes",1,IF(H8="Partial",0.5,0))</f>
        <v>0</v>
      </c>
      <c r="K8" s="6" t="n">
        <v>5</v>
      </c>
      <c r="L8" s="6" t="n">
        <v>5</v>
      </c>
      <c r="M8" s="6" t="n">
        <v>4.2</v>
      </c>
      <c r="N8" s="6" t="n">
        <v>3.7</v>
      </c>
      <c r="O8" s="6" t="n">
        <v>42000</v>
      </c>
      <c r="P8" s="6" t="n">
        <v>58000</v>
      </c>
      <c r="Q8" s="7" t="s">
        <v>57</v>
      </c>
      <c r="R8" s="6" t="n">
        <v>4</v>
      </c>
      <c r="S8" s="6" t="n">
        <v>4</v>
      </c>
      <c r="T8" s="6" t="n">
        <v>4</v>
      </c>
      <c r="U8" s="6" t="n">
        <v>5</v>
      </c>
      <c r="V8" s="6" t="s">
        <v>58</v>
      </c>
      <c r="W8" s="6" t="n">
        <v>2</v>
      </c>
      <c r="X8" s="6" t="n">
        <v>4</v>
      </c>
      <c r="Y8" s="6" t="n">
        <v>22</v>
      </c>
      <c r="Z8" s="6" t="n">
        <f aca="false">(J8-I8)*K8</f>
        <v>-5</v>
      </c>
      <c r="AA8" s="8" t="n">
        <f aca="false">IF(Z8&lt;0,ABS(Z8),0)</f>
        <v>5</v>
      </c>
      <c r="AB8" s="8" t="n">
        <f aca="false">IF(Z8&gt;0,Z8*L8,0)</f>
        <v>0</v>
      </c>
      <c r="AC8" s="8" t="n">
        <f aca="false">O8/P8</f>
        <v>0.724137931034483</v>
      </c>
      <c r="AD8" s="9" t="str">
        <f aca="false">IF(AB8&gt;=15,"High Priority",IF(AB8&gt;=7,"Medium Priority",IF(AB8&gt;0,"Low Priority","Monitor / No Gap")))</f>
        <v>Monitor / No Gap</v>
      </c>
      <c r="AE8" s="10" t="str">
        <f aca="false">IF(AD8="High Priority","Build Immediately - Critical Feature Gap",IF(AD8="Medium Priority","Plan for Next Roadmap Cycle",IF(AD8="Low Priority","Monitor &amp; Reassess Quarterly","No Action - Parity or Competitive Advantage")))</f>
        <v>No Action - Parity or Competitive Advantage</v>
      </c>
    </row>
    <row r="9" customFormat="false" ht="23.85" hidden="false" customHeight="false" outlineLevel="0" collapsed="false">
      <c r="A9" s="6" t="s">
        <v>71</v>
      </c>
      <c r="B9" s="7" t="s">
        <v>50</v>
      </c>
      <c r="C9" s="7" t="s">
        <v>60</v>
      </c>
      <c r="D9" s="6" t="s">
        <v>52</v>
      </c>
      <c r="E9" s="6" t="s">
        <v>53</v>
      </c>
      <c r="F9" s="7" t="s">
        <v>70</v>
      </c>
      <c r="G9" s="6" t="s">
        <v>55</v>
      </c>
      <c r="H9" s="6" t="s">
        <v>56</v>
      </c>
      <c r="I9" s="8" t="n">
        <f aca="false">IF(G9="Yes",1,IF(G9="Partial",0.5,0))</f>
        <v>1</v>
      </c>
      <c r="J9" s="8" t="n">
        <f aca="false">IF(H9="Yes",1,IF(H9="Partial",0.5,0))</f>
        <v>0.5</v>
      </c>
      <c r="K9" s="6" t="n">
        <v>5</v>
      </c>
      <c r="L9" s="6" t="n">
        <v>5</v>
      </c>
      <c r="M9" s="6" t="n">
        <v>4</v>
      </c>
      <c r="N9" s="6" t="n">
        <v>3.6</v>
      </c>
      <c r="O9" s="6" t="n">
        <v>42000</v>
      </c>
      <c r="P9" s="6" t="n">
        <v>32000</v>
      </c>
      <c r="Q9" s="7" t="s">
        <v>61</v>
      </c>
      <c r="R9" s="6" t="n">
        <v>4</v>
      </c>
      <c r="S9" s="6" t="n">
        <v>4</v>
      </c>
      <c r="T9" s="6" t="n">
        <v>4</v>
      </c>
      <c r="U9" s="6" t="n">
        <v>5</v>
      </c>
      <c r="V9" s="6" t="s">
        <v>58</v>
      </c>
      <c r="W9" s="6" t="n">
        <v>2</v>
      </c>
      <c r="X9" s="6" t="n">
        <v>4</v>
      </c>
      <c r="Y9" s="6" t="n">
        <v>15</v>
      </c>
      <c r="Z9" s="6" t="n">
        <f aca="false">(J9-I9)*K9</f>
        <v>-2.5</v>
      </c>
      <c r="AA9" s="8" t="n">
        <f aca="false">IF(Z9&lt;0,ABS(Z9),0)</f>
        <v>2.5</v>
      </c>
      <c r="AB9" s="8" t="n">
        <f aca="false">IF(Z9&gt;0,Z9*L9,0)</f>
        <v>0</v>
      </c>
      <c r="AC9" s="8" t="n">
        <f aca="false">O9/P9</f>
        <v>1.3125</v>
      </c>
      <c r="AD9" s="9" t="str">
        <f aca="false">IF(AB9&gt;=15,"High Priority",IF(AB9&gt;=7,"Medium Priority",IF(AB9&gt;0,"Low Priority","Monitor / No Gap")))</f>
        <v>Monitor / No Gap</v>
      </c>
      <c r="AE9" s="10" t="str">
        <f aca="false">IF(AD9="High Priority","Build Immediately - Critical Feature Gap",IF(AD9="Medium Priority","Plan for Next Roadmap Cycle",IF(AD9="Low Priority","Monitor &amp; Reassess Quarterly","No Action - Parity or Competitive Advantage")))</f>
        <v>No Action - Parity or Competitive Advantage</v>
      </c>
    </row>
    <row r="10" customFormat="false" ht="23.85" hidden="false" customHeight="false" outlineLevel="0" collapsed="false">
      <c r="A10" s="6" t="s">
        <v>72</v>
      </c>
      <c r="B10" s="7" t="s">
        <v>50</v>
      </c>
      <c r="C10" s="7" t="s">
        <v>63</v>
      </c>
      <c r="D10" s="6" t="s">
        <v>52</v>
      </c>
      <c r="E10" s="6" t="s">
        <v>53</v>
      </c>
      <c r="F10" s="7" t="s">
        <v>70</v>
      </c>
      <c r="G10" s="6" t="s">
        <v>55</v>
      </c>
      <c r="H10" s="6" t="s">
        <v>58</v>
      </c>
      <c r="I10" s="8" t="n">
        <f aca="false">IF(G10="Yes",1,IF(G10="Partial",0.5,0))</f>
        <v>1</v>
      </c>
      <c r="J10" s="8" t="n">
        <f aca="false">IF(H10="Yes",1,IF(H10="Partial",0.5,0))</f>
        <v>0</v>
      </c>
      <c r="K10" s="6" t="n">
        <v>5</v>
      </c>
      <c r="L10" s="6" t="n">
        <v>5</v>
      </c>
      <c r="M10" s="6" t="n">
        <v>4</v>
      </c>
      <c r="N10" s="6" t="n">
        <v>3.5</v>
      </c>
      <c r="O10" s="6" t="n">
        <v>42000</v>
      </c>
      <c r="P10" s="6" t="n">
        <v>47000</v>
      </c>
      <c r="Q10" s="7" t="s">
        <v>64</v>
      </c>
      <c r="R10" s="6" t="n">
        <v>4</v>
      </c>
      <c r="S10" s="6" t="n">
        <v>4</v>
      </c>
      <c r="T10" s="6" t="n">
        <v>4</v>
      </c>
      <c r="U10" s="6" t="n">
        <v>5</v>
      </c>
      <c r="V10" s="6" t="s">
        <v>58</v>
      </c>
      <c r="W10" s="6" t="n">
        <v>2</v>
      </c>
      <c r="X10" s="6" t="n">
        <v>4</v>
      </c>
      <c r="Y10" s="6" t="n">
        <v>18</v>
      </c>
      <c r="Z10" s="6" t="n">
        <f aca="false">(J10-I10)*K10</f>
        <v>-5</v>
      </c>
      <c r="AA10" s="8" t="n">
        <f aca="false">IF(Z10&lt;0,ABS(Z10),0)</f>
        <v>5</v>
      </c>
      <c r="AB10" s="8" t="n">
        <f aca="false">IF(Z10&gt;0,Z10*L10,0)</f>
        <v>0</v>
      </c>
      <c r="AC10" s="8" t="n">
        <f aca="false">O10/P10</f>
        <v>0.893617021276596</v>
      </c>
      <c r="AD10" s="9" t="str">
        <f aca="false">IF(AB10&gt;=15,"High Priority",IF(AB10&gt;=7,"Medium Priority",IF(AB10&gt;0,"Low Priority","Monitor / No Gap")))</f>
        <v>Monitor / No Gap</v>
      </c>
      <c r="AE10" s="10" t="str">
        <f aca="false">IF(AD10="High Priority","Build Immediately - Critical Feature Gap",IF(AD10="Medium Priority","Plan for Next Roadmap Cycle",IF(AD10="Low Priority","Monitor &amp; Reassess Quarterly","No Action - Parity or Competitive Advantage")))</f>
        <v>No Action - Parity or Competitive Advantage</v>
      </c>
    </row>
    <row r="11" customFormat="false" ht="23.85" hidden="false" customHeight="false" outlineLevel="0" collapsed="false">
      <c r="A11" s="6" t="s">
        <v>73</v>
      </c>
      <c r="B11" s="7" t="s">
        <v>50</v>
      </c>
      <c r="C11" s="7" t="s">
        <v>51</v>
      </c>
      <c r="D11" s="6" t="s">
        <v>52</v>
      </c>
      <c r="E11" s="6" t="s">
        <v>53</v>
      </c>
      <c r="F11" s="7" t="s">
        <v>74</v>
      </c>
      <c r="G11" s="6" t="s">
        <v>55</v>
      </c>
      <c r="H11" s="6" t="s">
        <v>55</v>
      </c>
      <c r="I11" s="8" t="n">
        <f aca="false">IF(G11="Yes",1,IF(G11="Partial",0.5,0))</f>
        <v>1</v>
      </c>
      <c r="J11" s="8" t="n">
        <f aca="false">IF(H11="Yes",1,IF(H11="Partial",0.5,0))</f>
        <v>1</v>
      </c>
      <c r="K11" s="6" t="n">
        <v>5</v>
      </c>
      <c r="L11" s="6" t="n">
        <v>5</v>
      </c>
      <c r="M11" s="6" t="n">
        <v>4.1</v>
      </c>
      <c r="N11" s="6" t="n">
        <v>4.7</v>
      </c>
      <c r="O11" s="6" t="n">
        <v>42000</v>
      </c>
      <c r="P11" s="6" t="n">
        <v>58000</v>
      </c>
      <c r="Q11" s="7" t="s">
        <v>57</v>
      </c>
      <c r="R11" s="6" t="n">
        <v>4</v>
      </c>
      <c r="S11" s="6" t="n">
        <v>4</v>
      </c>
      <c r="T11" s="6" t="n">
        <v>4</v>
      </c>
      <c r="U11" s="6" t="n">
        <v>5</v>
      </c>
      <c r="V11" s="6" t="s">
        <v>58</v>
      </c>
      <c r="W11" s="6" t="n">
        <v>2</v>
      </c>
      <c r="X11" s="6" t="n">
        <v>4</v>
      </c>
      <c r="Y11" s="6" t="n">
        <v>22</v>
      </c>
      <c r="Z11" s="6" t="n">
        <f aca="false">(J11-I11)*K11</f>
        <v>0</v>
      </c>
      <c r="AA11" s="8" t="n">
        <f aca="false">IF(Z11&lt;0,ABS(Z11),0)</f>
        <v>0</v>
      </c>
      <c r="AB11" s="8" t="n">
        <f aca="false">IF(Z11&gt;0,Z11*L11,0)</f>
        <v>0</v>
      </c>
      <c r="AC11" s="8" t="n">
        <f aca="false">O11/P11</f>
        <v>0.724137931034483</v>
      </c>
      <c r="AD11" s="9" t="str">
        <f aca="false">IF(AB11&gt;=15,"High Priority",IF(AB11&gt;=7,"Medium Priority",IF(AB11&gt;0,"Low Priority","Monitor / No Gap")))</f>
        <v>Monitor / No Gap</v>
      </c>
      <c r="AE11" s="10" t="str">
        <f aca="false">IF(AD11="High Priority","Build Immediately - Critical Feature Gap",IF(AD11="Medium Priority","Plan for Next Roadmap Cycle",IF(AD11="Low Priority","Monitor &amp; Reassess Quarterly","No Action - Parity or Competitive Advantage")))</f>
        <v>No Action - Parity or Competitive Advantage</v>
      </c>
    </row>
    <row r="12" customFormat="false" ht="23.85" hidden="false" customHeight="false" outlineLevel="0" collapsed="false">
      <c r="A12" s="6" t="s">
        <v>75</v>
      </c>
      <c r="B12" s="7" t="s">
        <v>50</v>
      </c>
      <c r="C12" s="7" t="s">
        <v>60</v>
      </c>
      <c r="D12" s="6" t="s">
        <v>52</v>
      </c>
      <c r="E12" s="6" t="s">
        <v>53</v>
      </c>
      <c r="F12" s="7" t="s">
        <v>74</v>
      </c>
      <c r="G12" s="6" t="s">
        <v>55</v>
      </c>
      <c r="H12" s="6" t="s">
        <v>56</v>
      </c>
      <c r="I12" s="8" t="n">
        <f aca="false">IF(G12="Yes",1,IF(G12="Partial",0.5,0))</f>
        <v>1</v>
      </c>
      <c r="J12" s="8" t="n">
        <f aca="false">IF(H12="Yes",1,IF(H12="Partial",0.5,0))</f>
        <v>0.5</v>
      </c>
      <c r="K12" s="6" t="n">
        <v>5</v>
      </c>
      <c r="L12" s="6" t="n">
        <v>5</v>
      </c>
      <c r="M12" s="6" t="n">
        <v>4.1</v>
      </c>
      <c r="N12" s="6" t="n">
        <v>3.8</v>
      </c>
      <c r="O12" s="6" t="n">
        <v>42000</v>
      </c>
      <c r="P12" s="6" t="n">
        <v>32000</v>
      </c>
      <c r="Q12" s="7" t="s">
        <v>61</v>
      </c>
      <c r="R12" s="6" t="n">
        <v>4</v>
      </c>
      <c r="S12" s="6" t="n">
        <v>4</v>
      </c>
      <c r="T12" s="6" t="n">
        <v>4</v>
      </c>
      <c r="U12" s="6" t="n">
        <v>5</v>
      </c>
      <c r="V12" s="6" t="s">
        <v>58</v>
      </c>
      <c r="W12" s="6" t="n">
        <v>2</v>
      </c>
      <c r="X12" s="6" t="n">
        <v>4</v>
      </c>
      <c r="Y12" s="6" t="n">
        <v>15</v>
      </c>
      <c r="Z12" s="6" t="n">
        <f aca="false">(J12-I12)*K12</f>
        <v>-2.5</v>
      </c>
      <c r="AA12" s="8" t="n">
        <f aca="false">IF(Z12&lt;0,ABS(Z12),0)</f>
        <v>2.5</v>
      </c>
      <c r="AB12" s="8" t="n">
        <f aca="false">IF(Z12&gt;0,Z12*L12,0)</f>
        <v>0</v>
      </c>
      <c r="AC12" s="8" t="n">
        <f aca="false">O12/P12</f>
        <v>1.3125</v>
      </c>
      <c r="AD12" s="9" t="str">
        <f aca="false">IF(AB12&gt;=15,"High Priority",IF(AB12&gt;=7,"Medium Priority",IF(AB12&gt;0,"Low Priority","Monitor / No Gap")))</f>
        <v>Monitor / No Gap</v>
      </c>
      <c r="AE12" s="10" t="str">
        <f aca="false">IF(AD12="High Priority","Build Immediately - Critical Feature Gap",IF(AD12="Medium Priority","Plan for Next Roadmap Cycle",IF(AD12="Low Priority","Monitor &amp; Reassess Quarterly","No Action - Parity or Competitive Advantage")))</f>
        <v>No Action - Parity or Competitive Advantage</v>
      </c>
    </row>
    <row r="13" customFormat="false" ht="23.85" hidden="false" customHeight="false" outlineLevel="0" collapsed="false">
      <c r="A13" s="6" t="s">
        <v>76</v>
      </c>
      <c r="B13" s="7" t="s">
        <v>50</v>
      </c>
      <c r="C13" s="7" t="s">
        <v>63</v>
      </c>
      <c r="D13" s="6" t="s">
        <v>52</v>
      </c>
      <c r="E13" s="6" t="s">
        <v>53</v>
      </c>
      <c r="F13" s="7" t="s">
        <v>74</v>
      </c>
      <c r="G13" s="6" t="s">
        <v>55</v>
      </c>
      <c r="H13" s="6" t="s">
        <v>58</v>
      </c>
      <c r="I13" s="8" t="n">
        <f aca="false">IF(G13="Yes",1,IF(G13="Partial",0.5,0))</f>
        <v>1</v>
      </c>
      <c r="J13" s="8" t="n">
        <f aca="false">IF(H13="Yes",1,IF(H13="Partial",0.5,0))</f>
        <v>0</v>
      </c>
      <c r="K13" s="6" t="n">
        <v>5</v>
      </c>
      <c r="L13" s="6" t="n">
        <v>5</v>
      </c>
      <c r="M13" s="6" t="n">
        <v>4.1</v>
      </c>
      <c r="N13" s="6" t="n">
        <v>3.6</v>
      </c>
      <c r="O13" s="6" t="n">
        <v>42000</v>
      </c>
      <c r="P13" s="6" t="n">
        <v>47000</v>
      </c>
      <c r="Q13" s="7" t="s">
        <v>64</v>
      </c>
      <c r="R13" s="6" t="n">
        <v>4</v>
      </c>
      <c r="S13" s="6" t="n">
        <v>4</v>
      </c>
      <c r="T13" s="6" t="n">
        <v>4</v>
      </c>
      <c r="U13" s="6" t="n">
        <v>5</v>
      </c>
      <c r="V13" s="6" t="s">
        <v>58</v>
      </c>
      <c r="W13" s="6" t="n">
        <v>2</v>
      </c>
      <c r="X13" s="6" t="n">
        <v>4</v>
      </c>
      <c r="Y13" s="6" t="n">
        <v>18</v>
      </c>
      <c r="Z13" s="6" t="n">
        <f aca="false">(J13-I13)*K13</f>
        <v>-5</v>
      </c>
      <c r="AA13" s="8" t="n">
        <f aca="false">IF(Z13&lt;0,ABS(Z13),0)</f>
        <v>5</v>
      </c>
      <c r="AB13" s="8" t="n">
        <f aca="false">IF(Z13&gt;0,Z13*L13,0)</f>
        <v>0</v>
      </c>
      <c r="AC13" s="8" t="n">
        <f aca="false">O13/P13</f>
        <v>0.893617021276596</v>
      </c>
      <c r="AD13" s="9" t="str">
        <f aca="false">IF(AB13&gt;=15,"High Priority",IF(AB13&gt;=7,"Medium Priority",IF(AB13&gt;0,"Low Priority","Monitor / No Gap")))</f>
        <v>Monitor / No Gap</v>
      </c>
      <c r="AE13" s="10" t="str">
        <f aca="false">IF(AD13="High Priority","Build Immediately - Critical Feature Gap",IF(AD13="Medium Priority","Plan for Next Roadmap Cycle",IF(AD13="Low Priority","Monitor &amp; Reassess Quarterly","No Action - Parity or Competitive Advantage")))</f>
        <v>No Action - Parity or Competitive Advantage</v>
      </c>
    </row>
    <row r="14" customFormat="false" ht="23.85" hidden="false" customHeight="false" outlineLevel="0" collapsed="false">
      <c r="A14" s="6" t="s">
        <v>77</v>
      </c>
      <c r="B14" s="7" t="s">
        <v>50</v>
      </c>
      <c r="C14" s="7" t="s">
        <v>51</v>
      </c>
      <c r="D14" s="6" t="s">
        <v>52</v>
      </c>
      <c r="E14" s="6" t="s">
        <v>53</v>
      </c>
      <c r="F14" s="7" t="s">
        <v>78</v>
      </c>
      <c r="G14" s="6" t="s">
        <v>55</v>
      </c>
      <c r="H14" s="6" t="s">
        <v>58</v>
      </c>
      <c r="I14" s="8" t="n">
        <f aca="false">IF(G14="Yes",1,IF(G14="Partial",0.5,0))</f>
        <v>1</v>
      </c>
      <c r="J14" s="8" t="n">
        <f aca="false">IF(H14="Yes",1,IF(H14="Partial",0.5,0))</f>
        <v>0</v>
      </c>
      <c r="K14" s="6" t="n">
        <v>4</v>
      </c>
      <c r="L14" s="6" t="n">
        <v>4</v>
      </c>
      <c r="M14" s="6" t="n">
        <v>4.2</v>
      </c>
      <c r="N14" s="6" t="n">
        <v>3.9</v>
      </c>
      <c r="O14" s="6" t="n">
        <v>42000</v>
      </c>
      <c r="P14" s="6" t="n">
        <v>58000</v>
      </c>
      <c r="Q14" s="7" t="s">
        <v>57</v>
      </c>
      <c r="R14" s="6" t="n">
        <v>4</v>
      </c>
      <c r="S14" s="6" t="n">
        <v>4</v>
      </c>
      <c r="T14" s="6" t="n">
        <v>4</v>
      </c>
      <c r="U14" s="6" t="n">
        <v>5</v>
      </c>
      <c r="V14" s="6" t="s">
        <v>58</v>
      </c>
      <c r="W14" s="6" t="n">
        <v>2</v>
      </c>
      <c r="X14" s="6" t="n">
        <v>4</v>
      </c>
      <c r="Y14" s="6" t="n">
        <v>22</v>
      </c>
      <c r="Z14" s="6" t="n">
        <f aca="false">(J14-I14)*K14</f>
        <v>-4</v>
      </c>
      <c r="AA14" s="8" t="n">
        <f aca="false">IF(Z14&lt;0,ABS(Z14),0)</f>
        <v>4</v>
      </c>
      <c r="AB14" s="8" t="n">
        <f aca="false">IF(Z14&gt;0,Z14*L14,0)</f>
        <v>0</v>
      </c>
      <c r="AC14" s="8" t="n">
        <f aca="false">O14/P14</f>
        <v>0.724137931034483</v>
      </c>
      <c r="AD14" s="9" t="str">
        <f aca="false">IF(AB14&gt;=15,"High Priority",IF(AB14&gt;=7,"Medium Priority",IF(AB14&gt;0,"Low Priority","Monitor / No Gap")))</f>
        <v>Monitor / No Gap</v>
      </c>
      <c r="AE14" s="10" t="str">
        <f aca="false">IF(AD14="High Priority","Build Immediately - Critical Feature Gap",IF(AD14="Medium Priority","Plan for Next Roadmap Cycle",IF(AD14="Low Priority","Monitor &amp; Reassess Quarterly","No Action - Parity or Competitive Advantage")))</f>
        <v>No Action - Parity or Competitive Advantage</v>
      </c>
    </row>
    <row r="15" customFormat="false" ht="23.85" hidden="false" customHeight="false" outlineLevel="0" collapsed="false">
      <c r="A15" s="6" t="s">
        <v>79</v>
      </c>
      <c r="B15" s="7" t="s">
        <v>50</v>
      </c>
      <c r="C15" s="7" t="s">
        <v>60</v>
      </c>
      <c r="D15" s="6" t="s">
        <v>52</v>
      </c>
      <c r="E15" s="6" t="s">
        <v>53</v>
      </c>
      <c r="F15" s="7" t="s">
        <v>78</v>
      </c>
      <c r="G15" s="6" t="s">
        <v>55</v>
      </c>
      <c r="H15" s="6" t="s">
        <v>55</v>
      </c>
      <c r="I15" s="8" t="n">
        <f aca="false">IF(G15="Yes",1,IF(G15="Partial",0.5,0))</f>
        <v>1</v>
      </c>
      <c r="J15" s="8" t="n">
        <f aca="false">IF(H15="Yes",1,IF(H15="Partial",0.5,0))</f>
        <v>1</v>
      </c>
      <c r="K15" s="6" t="n">
        <v>4</v>
      </c>
      <c r="L15" s="6" t="n">
        <v>4</v>
      </c>
      <c r="M15" s="6" t="n">
        <v>4</v>
      </c>
      <c r="N15" s="6" t="n">
        <v>4.2</v>
      </c>
      <c r="O15" s="6" t="n">
        <v>42000</v>
      </c>
      <c r="P15" s="6" t="n">
        <v>32000</v>
      </c>
      <c r="Q15" s="7" t="s">
        <v>61</v>
      </c>
      <c r="R15" s="6" t="n">
        <v>4</v>
      </c>
      <c r="S15" s="6" t="n">
        <v>4</v>
      </c>
      <c r="T15" s="6" t="n">
        <v>4</v>
      </c>
      <c r="U15" s="6" t="n">
        <v>5</v>
      </c>
      <c r="V15" s="6" t="s">
        <v>58</v>
      </c>
      <c r="W15" s="6" t="n">
        <v>2</v>
      </c>
      <c r="X15" s="6" t="n">
        <v>4</v>
      </c>
      <c r="Y15" s="6" t="n">
        <v>15</v>
      </c>
      <c r="Z15" s="6" t="n">
        <f aca="false">(J15-I15)*K15</f>
        <v>0</v>
      </c>
      <c r="AA15" s="8" t="n">
        <f aca="false">IF(Z15&lt;0,ABS(Z15),0)</f>
        <v>0</v>
      </c>
      <c r="AB15" s="8" t="n">
        <f aca="false">IF(Z15&gt;0,Z15*L15,0)</f>
        <v>0</v>
      </c>
      <c r="AC15" s="8" t="n">
        <f aca="false">O15/P15</f>
        <v>1.3125</v>
      </c>
      <c r="AD15" s="9" t="str">
        <f aca="false">IF(AB15&gt;=15,"High Priority",IF(AB15&gt;=7,"Medium Priority",IF(AB15&gt;0,"Low Priority","Monitor / No Gap")))</f>
        <v>Monitor / No Gap</v>
      </c>
      <c r="AE15" s="10" t="str">
        <f aca="false">IF(AD15="High Priority","Build Immediately - Critical Feature Gap",IF(AD15="Medium Priority","Plan for Next Roadmap Cycle",IF(AD15="Low Priority","Monitor &amp; Reassess Quarterly","No Action - Parity or Competitive Advantage")))</f>
        <v>No Action - Parity or Competitive Advantage</v>
      </c>
    </row>
    <row r="16" customFormat="false" ht="23.85" hidden="false" customHeight="false" outlineLevel="0" collapsed="false">
      <c r="A16" s="6" t="s">
        <v>80</v>
      </c>
      <c r="B16" s="7" t="s">
        <v>50</v>
      </c>
      <c r="C16" s="7" t="s">
        <v>63</v>
      </c>
      <c r="D16" s="6" t="s">
        <v>52</v>
      </c>
      <c r="E16" s="6" t="s">
        <v>53</v>
      </c>
      <c r="F16" s="7" t="s">
        <v>78</v>
      </c>
      <c r="G16" s="6" t="s">
        <v>55</v>
      </c>
      <c r="H16" s="6" t="s">
        <v>55</v>
      </c>
      <c r="I16" s="8" t="n">
        <f aca="false">IF(G16="Yes",1,IF(G16="Partial",0.5,0))</f>
        <v>1</v>
      </c>
      <c r="J16" s="8" t="n">
        <f aca="false">IF(H16="Yes",1,IF(H16="Partial",0.5,0))</f>
        <v>1</v>
      </c>
      <c r="K16" s="6" t="n">
        <v>4</v>
      </c>
      <c r="L16" s="6" t="n">
        <v>4</v>
      </c>
      <c r="M16" s="6" t="n">
        <v>4</v>
      </c>
      <c r="N16" s="6" t="n">
        <v>4.2</v>
      </c>
      <c r="O16" s="6" t="n">
        <v>42000</v>
      </c>
      <c r="P16" s="6" t="n">
        <v>47000</v>
      </c>
      <c r="Q16" s="7" t="s">
        <v>64</v>
      </c>
      <c r="R16" s="6" t="n">
        <v>4</v>
      </c>
      <c r="S16" s="6" t="n">
        <v>4</v>
      </c>
      <c r="T16" s="6" t="n">
        <v>4</v>
      </c>
      <c r="U16" s="6" t="n">
        <v>5</v>
      </c>
      <c r="V16" s="6" t="s">
        <v>58</v>
      </c>
      <c r="W16" s="6" t="n">
        <v>2</v>
      </c>
      <c r="X16" s="6" t="n">
        <v>4</v>
      </c>
      <c r="Y16" s="6" t="n">
        <v>18</v>
      </c>
      <c r="Z16" s="6" t="n">
        <f aca="false">(J16-I16)*K16</f>
        <v>0</v>
      </c>
      <c r="AA16" s="8" t="n">
        <f aca="false">IF(Z16&lt;0,ABS(Z16),0)</f>
        <v>0</v>
      </c>
      <c r="AB16" s="8" t="n">
        <f aca="false">IF(Z16&gt;0,Z16*L16,0)</f>
        <v>0</v>
      </c>
      <c r="AC16" s="8" t="n">
        <f aca="false">O16/P16</f>
        <v>0.893617021276596</v>
      </c>
      <c r="AD16" s="9" t="str">
        <f aca="false">IF(AB16&gt;=15,"High Priority",IF(AB16&gt;=7,"Medium Priority",IF(AB16&gt;0,"Low Priority","Monitor / No Gap")))</f>
        <v>Monitor / No Gap</v>
      </c>
      <c r="AE16" s="10" t="str">
        <f aca="false">IF(AD16="High Priority","Build Immediately - Critical Feature Gap",IF(AD16="Medium Priority","Plan for Next Roadmap Cycle",IF(AD16="Low Priority","Monitor &amp; Reassess Quarterly","No Action - Parity or Competitive Advantage")))</f>
        <v>No Action - Parity or Competitive Advantage</v>
      </c>
    </row>
    <row r="17" customFormat="false" ht="23.85" hidden="false" customHeight="false" outlineLevel="0" collapsed="false">
      <c r="A17" s="6" t="s">
        <v>81</v>
      </c>
      <c r="B17" s="7" t="s">
        <v>50</v>
      </c>
      <c r="C17" s="7" t="s">
        <v>51</v>
      </c>
      <c r="D17" s="6" t="s">
        <v>52</v>
      </c>
      <c r="E17" s="6" t="s">
        <v>53</v>
      </c>
      <c r="F17" s="7" t="s">
        <v>82</v>
      </c>
      <c r="G17" s="6" t="s">
        <v>56</v>
      </c>
      <c r="H17" s="6" t="s">
        <v>55</v>
      </c>
      <c r="I17" s="8" t="n">
        <f aca="false">IF(G17="Yes",1,IF(G17="Partial",0.5,0))</f>
        <v>0.5</v>
      </c>
      <c r="J17" s="8" t="n">
        <f aca="false">IF(H17="Yes",1,IF(H17="Partial",0.5,0))</f>
        <v>1</v>
      </c>
      <c r="K17" s="6" t="n">
        <v>4</v>
      </c>
      <c r="L17" s="6" t="n">
        <v>3</v>
      </c>
      <c r="M17" s="6" t="n">
        <v>4.1</v>
      </c>
      <c r="N17" s="6" t="n">
        <v>4.4</v>
      </c>
      <c r="O17" s="6" t="n">
        <v>42000</v>
      </c>
      <c r="P17" s="6" t="n">
        <v>58000</v>
      </c>
      <c r="Q17" s="7" t="s">
        <v>57</v>
      </c>
      <c r="R17" s="6" t="n">
        <v>4</v>
      </c>
      <c r="S17" s="6" t="n">
        <v>4</v>
      </c>
      <c r="T17" s="6" t="n">
        <v>4</v>
      </c>
      <c r="U17" s="6" t="n">
        <v>5</v>
      </c>
      <c r="V17" s="6" t="s">
        <v>58</v>
      </c>
      <c r="W17" s="6" t="n">
        <v>2</v>
      </c>
      <c r="X17" s="6" t="n">
        <v>4</v>
      </c>
      <c r="Y17" s="6" t="n">
        <v>22</v>
      </c>
      <c r="Z17" s="6" t="n">
        <f aca="false">(J17-I17)*K17</f>
        <v>2</v>
      </c>
      <c r="AA17" s="8" t="n">
        <f aca="false">IF(Z17&lt;0,ABS(Z17),0)</f>
        <v>0</v>
      </c>
      <c r="AB17" s="8" t="n">
        <f aca="false">IF(Z17&gt;0,Z17*L17,0)</f>
        <v>6</v>
      </c>
      <c r="AC17" s="8" t="n">
        <f aca="false">O17/P17</f>
        <v>0.724137931034483</v>
      </c>
      <c r="AD17" s="9" t="str">
        <f aca="false">IF(AB17&gt;=15,"High Priority",IF(AB17&gt;=7,"Medium Priority",IF(AB17&gt;0,"Low Priority","Monitor / No Gap")))</f>
        <v>Low Priority</v>
      </c>
      <c r="AE17" s="10" t="str">
        <f aca="false">IF(AD17="High Priority","Build Immediately - Critical Feature Gap",IF(AD17="Medium Priority","Plan for Next Roadmap Cycle",IF(AD17="Low Priority","Monitor &amp; Reassess Quarterly","No Action - Parity or Competitive Advantage")))</f>
        <v>Monitor &amp; Reassess Quarterly</v>
      </c>
    </row>
    <row r="18" customFormat="false" ht="23.85" hidden="false" customHeight="false" outlineLevel="0" collapsed="false">
      <c r="A18" s="6" t="s">
        <v>83</v>
      </c>
      <c r="B18" s="7" t="s">
        <v>50</v>
      </c>
      <c r="C18" s="7" t="s">
        <v>60</v>
      </c>
      <c r="D18" s="6" t="s">
        <v>52</v>
      </c>
      <c r="E18" s="6" t="s">
        <v>53</v>
      </c>
      <c r="F18" s="7" t="s">
        <v>82</v>
      </c>
      <c r="G18" s="6" t="s">
        <v>56</v>
      </c>
      <c r="H18" s="6" t="s">
        <v>55</v>
      </c>
      <c r="I18" s="8" t="n">
        <f aca="false">IF(G18="Yes",1,IF(G18="Partial",0.5,0))</f>
        <v>0.5</v>
      </c>
      <c r="J18" s="8" t="n">
        <f aca="false">IF(H18="Yes",1,IF(H18="Partial",0.5,0))</f>
        <v>1</v>
      </c>
      <c r="K18" s="6" t="n">
        <v>4</v>
      </c>
      <c r="L18" s="6" t="n">
        <v>3</v>
      </c>
      <c r="M18" s="6" t="n">
        <v>4.1</v>
      </c>
      <c r="N18" s="6" t="n">
        <v>4</v>
      </c>
      <c r="O18" s="6" t="n">
        <v>42000</v>
      </c>
      <c r="P18" s="6" t="n">
        <v>32000</v>
      </c>
      <c r="Q18" s="7" t="s">
        <v>61</v>
      </c>
      <c r="R18" s="6" t="n">
        <v>4</v>
      </c>
      <c r="S18" s="6" t="n">
        <v>4</v>
      </c>
      <c r="T18" s="6" t="n">
        <v>4</v>
      </c>
      <c r="U18" s="6" t="n">
        <v>5</v>
      </c>
      <c r="V18" s="6" t="s">
        <v>58</v>
      </c>
      <c r="W18" s="6" t="n">
        <v>2</v>
      </c>
      <c r="X18" s="6" t="n">
        <v>4</v>
      </c>
      <c r="Y18" s="6" t="n">
        <v>15</v>
      </c>
      <c r="Z18" s="6" t="n">
        <f aca="false">(J18-I18)*K18</f>
        <v>2</v>
      </c>
      <c r="AA18" s="8" t="n">
        <f aca="false">IF(Z18&lt;0,ABS(Z18),0)</f>
        <v>0</v>
      </c>
      <c r="AB18" s="8" t="n">
        <f aca="false">IF(Z18&gt;0,Z18*L18,0)</f>
        <v>6</v>
      </c>
      <c r="AC18" s="8" t="n">
        <f aca="false">O18/P18</f>
        <v>1.3125</v>
      </c>
      <c r="AD18" s="9" t="str">
        <f aca="false">IF(AB18&gt;=15,"High Priority",IF(AB18&gt;=7,"Medium Priority",IF(AB18&gt;0,"Low Priority","Monitor / No Gap")))</f>
        <v>Low Priority</v>
      </c>
      <c r="AE18" s="10" t="str">
        <f aca="false">IF(AD18="High Priority","Build Immediately - Critical Feature Gap",IF(AD18="Medium Priority","Plan for Next Roadmap Cycle",IF(AD18="Low Priority","Monitor &amp; Reassess Quarterly","No Action - Parity or Competitive Advantage")))</f>
        <v>Monitor &amp; Reassess Quarterly</v>
      </c>
    </row>
    <row r="19" customFormat="false" ht="23.85" hidden="false" customHeight="false" outlineLevel="0" collapsed="false">
      <c r="A19" s="6" t="s">
        <v>84</v>
      </c>
      <c r="B19" s="7" t="s">
        <v>50</v>
      </c>
      <c r="C19" s="7" t="s">
        <v>63</v>
      </c>
      <c r="D19" s="6" t="s">
        <v>52</v>
      </c>
      <c r="E19" s="6" t="s">
        <v>53</v>
      </c>
      <c r="F19" s="7" t="s">
        <v>82</v>
      </c>
      <c r="G19" s="6" t="s">
        <v>56</v>
      </c>
      <c r="H19" s="6" t="s">
        <v>55</v>
      </c>
      <c r="I19" s="8" t="n">
        <f aca="false">IF(G19="Yes",1,IF(G19="Partial",0.5,0))</f>
        <v>0.5</v>
      </c>
      <c r="J19" s="8" t="n">
        <f aca="false">IF(H19="Yes",1,IF(H19="Partial",0.5,0))</f>
        <v>1</v>
      </c>
      <c r="K19" s="6" t="n">
        <v>4</v>
      </c>
      <c r="L19" s="6" t="n">
        <v>3</v>
      </c>
      <c r="M19" s="6" t="n">
        <v>4.2</v>
      </c>
      <c r="N19" s="6" t="n">
        <v>4.2</v>
      </c>
      <c r="O19" s="6" t="n">
        <v>42000</v>
      </c>
      <c r="P19" s="6" t="n">
        <v>47000</v>
      </c>
      <c r="Q19" s="7" t="s">
        <v>64</v>
      </c>
      <c r="R19" s="6" t="n">
        <v>4</v>
      </c>
      <c r="S19" s="6" t="n">
        <v>4</v>
      </c>
      <c r="T19" s="6" t="n">
        <v>4</v>
      </c>
      <c r="U19" s="6" t="n">
        <v>5</v>
      </c>
      <c r="V19" s="6" t="s">
        <v>58</v>
      </c>
      <c r="W19" s="6" t="n">
        <v>2</v>
      </c>
      <c r="X19" s="6" t="n">
        <v>4</v>
      </c>
      <c r="Y19" s="6" t="n">
        <v>18</v>
      </c>
      <c r="Z19" s="6" t="n">
        <f aca="false">(J19-I19)*K19</f>
        <v>2</v>
      </c>
      <c r="AA19" s="8" t="n">
        <f aca="false">IF(Z19&lt;0,ABS(Z19),0)</f>
        <v>0</v>
      </c>
      <c r="AB19" s="8" t="n">
        <f aca="false">IF(Z19&gt;0,Z19*L19,0)</f>
        <v>6</v>
      </c>
      <c r="AC19" s="8" t="n">
        <f aca="false">O19/P19</f>
        <v>0.893617021276596</v>
      </c>
      <c r="AD19" s="9" t="str">
        <f aca="false">IF(AB19&gt;=15,"High Priority",IF(AB19&gt;=7,"Medium Priority",IF(AB19&gt;0,"Low Priority","Monitor / No Gap")))</f>
        <v>Low Priority</v>
      </c>
      <c r="AE19" s="10" t="str">
        <f aca="false">IF(AD19="High Priority","Build Immediately - Critical Feature Gap",IF(AD19="Medium Priority","Plan for Next Roadmap Cycle",IF(AD19="Low Priority","Monitor &amp; Reassess Quarterly","No Action - Parity or Competitive Advantage")))</f>
        <v>Monitor &amp; Reassess Quarterly</v>
      </c>
    </row>
    <row r="20" customFormat="false" ht="23.85" hidden="false" customHeight="false" outlineLevel="0" collapsed="false">
      <c r="A20" s="6" t="s">
        <v>85</v>
      </c>
      <c r="B20" s="7" t="s">
        <v>50</v>
      </c>
      <c r="C20" s="7" t="s">
        <v>51</v>
      </c>
      <c r="D20" s="6" t="s">
        <v>52</v>
      </c>
      <c r="E20" s="6" t="s">
        <v>53</v>
      </c>
      <c r="F20" s="7" t="s">
        <v>86</v>
      </c>
      <c r="G20" s="6" t="s">
        <v>58</v>
      </c>
      <c r="H20" s="6" t="s">
        <v>56</v>
      </c>
      <c r="I20" s="8" t="n">
        <f aca="false">IF(G20="Yes",1,IF(G20="Partial",0.5,0))</f>
        <v>0</v>
      </c>
      <c r="J20" s="8" t="n">
        <f aca="false">IF(H20="Yes",1,IF(H20="Partial",0.5,0))</f>
        <v>0.5</v>
      </c>
      <c r="K20" s="6" t="n">
        <v>3</v>
      </c>
      <c r="L20" s="6" t="n">
        <v>3</v>
      </c>
      <c r="M20" s="6" t="n">
        <v>4</v>
      </c>
      <c r="N20" s="6" t="n">
        <v>4.2</v>
      </c>
      <c r="O20" s="6" t="n">
        <v>42000</v>
      </c>
      <c r="P20" s="6" t="n">
        <v>58000</v>
      </c>
      <c r="Q20" s="7" t="s">
        <v>57</v>
      </c>
      <c r="R20" s="6" t="n">
        <v>4</v>
      </c>
      <c r="S20" s="6" t="n">
        <v>4</v>
      </c>
      <c r="T20" s="6" t="n">
        <v>4</v>
      </c>
      <c r="U20" s="6" t="n">
        <v>5</v>
      </c>
      <c r="V20" s="6" t="s">
        <v>58</v>
      </c>
      <c r="W20" s="6" t="n">
        <v>2</v>
      </c>
      <c r="X20" s="6" t="n">
        <v>4</v>
      </c>
      <c r="Y20" s="6" t="n">
        <v>22</v>
      </c>
      <c r="Z20" s="6" t="n">
        <f aca="false">(J20-I20)*K20</f>
        <v>1.5</v>
      </c>
      <c r="AA20" s="8" t="n">
        <f aca="false">IF(Z20&lt;0,ABS(Z20),0)</f>
        <v>0</v>
      </c>
      <c r="AB20" s="8" t="n">
        <f aca="false">IF(Z20&gt;0,Z20*L20,0)</f>
        <v>4.5</v>
      </c>
      <c r="AC20" s="8" t="n">
        <f aca="false">O20/P20</f>
        <v>0.724137931034483</v>
      </c>
      <c r="AD20" s="9" t="str">
        <f aca="false">IF(AB20&gt;=15,"High Priority",IF(AB20&gt;=7,"Medium Priority",IF(AB20&gt;0,"Low Priority","Monitor / No Gap")))</f>
        <v>Low Priority</v>
      </c>
      <c r="AE20" s="10" t="str">
        <f aca="false">IF(AD20="High Priority","Build Immediately - Critical Feature Gap",IF(AD20="Medium Priority","Plan for Next Roadmap Cycle",IF(AD20="Low Priority","Monitor &amp; Reassess Quarterly","No Action - Parity or Competitive Advantage")))</f>
        <v>Monitor &amp; Reassess Quarterly</v>
      </c>
    </row>
    <row r="21" customFormat="false" ht="23.85" hidden="false" customHeight="false" outlineLevel="0" collapsed="false">
      <c r="A21" s="6" t="s">
        <v>87</v>
      </c>
      <c r="B21" s="7" t="s">
        <v>50</v>
      </c>
      <c r="C21" s="7" t="s">
        <v>60</v>
      </c>
      <c r="D21" s="6" t="s">
        <v>52</v>
      </c>
      <c r="E21" s="6" t="s">
        <v>53</v>
      </c>
      <c r="F21" s="7" t="s">
        <v>86</v>
      </c>
      <c r="G21" s="6" t="s">
        <v>58</v>
      </c>
      <c r="H21" s="6" t="s">
        <v>56</v>
      </c>
      <c r="I21" s="8" t="n">
        <f aca="false">IF(G21="Yes",1,IF(G21="Partial",0.5,0))</f>
        <v>0</v>
      </c>
      <c r="J21" s="8" t="n">
        <f aca="false">IF(H21="Yes",1,IF(H21="Partial",0.5,0))</f>
        <v>0.5</v>
      </c>
      <c r="K21" s="6" t="n">
        <v>3</v>
      </c>
      <c r="L21" s="6" t="n">
        <v>3</v>
      </c>
      <c r="M21" s="6" t="n">
        <v>4.1</v>
      </c>
      <c r="N21" s="6" t="n">
        <v>3.6</v>
      </c>
      <c r="O21" s="6" t="n">
        <v>42000</v>
      </c>
      <c r="P21" s="6" t="n">
        <v>32000</v>
      </c>
      <c r="Q21" s="7" t="s">
        <v>61</v>
      </c>
      <c r="R21" s="6" t="n">
        <v>4</v>
      </c>
      <c r="S21" s="6" t="n">
        <v>4</v>
      </c>
      <c r="T21" s="6" t="n">
        <v>4</v>
      </c>
      <c r="U21" s="6" t="n">
        <v>5</v>
      </c>
      <c r="V21" s="6" t="s">
        <v>58</v>
      </c>
      <c r="W21" s="6" t="n">
        <v>2</v>
      </c>
      <c r="X21" s="6" t="n">
        <v>4</v>
      </c>
      <c r="Y21" s="6" t="n">
        <v>15</v>
      </c>
      <c r="Z21" s="6" t="n">
        <f aca="false">(J21-I21)*K21</f>
        <v>1.5</v>
      </c>
      <c r="AA21" s="8" t="n">
        <f aca="false">IF(Z21&lt;0,ABS(Z21),0)</f>
        <v>0</v>
      </c>
      <c r="AB21" s="8" t="n">
        <f aca="false">IF(Z21&gt;0,Z21*L21,0)</f>
        <v>4.5</v>
      </c>
      <c r="AC21" s="8" t="n">
        <f aca="false">O21/P21</f>
        <v>1.3125</v>
      </c>
      <c r="AD21" s="9" t="str">
        <f aca="false">IF(AB21&gt;=15,"High Priority",IF(AB21&gt;=7,"Medium Priority",IF(AB21&gt;0,"Low Priority","Monitor / No Gap")))</f>
        <v>Low Priority</v>
      </c>
      <c r="AE21" s="10" t="str">
        <f aca="false">IF(AD21="High Priority","Build Immediately - Critical Feature Gap",IF(AD21="Medium Priority","Plan for Next Roadmap Cycle",IF(AD21="Low Priority","Monitor &amp; Reassess Quarterly","No Action - Parity or Competitive Advantage")))</f>
        <v>Monitor &amp; Reassess Quarterly</v>
      </c>
    </row>
    <row r="22" customFormat="false" ht="23.85" hidden="false" customHeight="false" outlineLevel="0" collapsed="false">
      <c r="A22" s="6" t="s">
        <v>88</v>
      </c>
      <c r="B22" s="7" t="s">
        <v>50</v>
      </c>
      <c r="C22" s="7" t="s">
        <v>63</v>
      </c>
      <c r="D22" s="6" t="s">
        <v>52</v>
      </c>
      <c r="E22" s="6" t="s">
        <v>53</v>
      </c>
      <c r="F22" s="7" t="s">
        <v>86</v>
      </c>
      <c r="G22" s="6" t="s">
        <v>58</v>
      </c>
      <c r="H22" s="6" t="s">
        <v>58</v>
      </c>
      <c r="I22" s="8" t="n">
        <f aca="false">IF(G22="Yes",1,IF(G22="Partial",0.5,0))</f>
        <v>0</v>
      </c>
      <c r="J22" s="8" t="n">
        <f aca="false">IF(H22="Yes",1,IF(H22="Partial",0.5,0))</f>
        <v>0</v>
      </c>
      <c r="K22" s="6" t="n">
        <v>3</v>
      </c>
      <c r="L22" s="6" t="n">
        <v>3</v>
      </c>
      <c r="M22" s="6" t="n">
        <v>4.1</v>
      </c>
      <c r="N22" s="6" t="n">
        <v>3.7</v>
      </c>
      <c r="O22" s="6" t="n">
        <v>42000</v>
      </c>
      <c r="P22" s="6" t="n">
        <v>47000</v>
      </c>
      <c r="Q22" s="7" t="s">
        <v>64</v>
      </c>
      <c r="R22" s="6" t="n">
        <v>4</v>
      </c>
      <c r="S22" s="6" t="n">
        <v>4</v>
      </c>
      <c r="T22" s="6" t="n">
        <v>4</v>
      </c>
      <c r="U22" s="6" t="n">
        <v>5</v>
      </c>
      <c r="V22" s="6" t="s">
        <v>58</v>
      </c>
      <c r="W22" s="6" t="n">
        <v>2</v>
      </c>
      <c r="X22" s="6" t="n">
        <v>4</v>
      </c>
      <c r="Y22" s="6" t="n">
        <v>18</v>
      </c>
      <c r="Z22" s="6" t="n">
        <f aca="false">(J22-I22)*K22</f>
        <v>0</v>
      </c>
      <c r="AA22" s="8" t="n">
        <f aca="false">IF(Z22&lt;0,ABS(Z22),0)</f>
        <v>0</v>
      </c>
      <c r="AB22" s="8" t="n">
        <f aca="false">IF(Z22&gt;0,Z22*L22,0)</f>
        <v>0</v>
      </c>
      <c r="AC22" s="8" t="n">
        <f aca="false">O22/P22</f>
        <v>0.893617021276596</v>
      </c>
      <c r="AD22" s="9" t="str">
        <f aca="false">IF(AB22&gt;=15,"High Priority",IF(AB22&gt;=7,"Medium Priority",IF(AB22&gt;0,"Low Priority","Monitor / No Gap")))</f>
        <v>Monitor / No Gap</v>
      </c>
      <c r="AE22" s="10" t="str">
        <f aca="false">IF(AD22="High Priority","Build Immediately - Critical Feature Gap",IF(AD22="Medium Priority","Plan for Next Roadmap Cycle",IF(AD22="Low Priority","Monitor &amp; Reassess Quarterly","No Action - Parity or Competitive Advantage")))</f>
        <v>No Action - Parity or Competitive Advantage</v>
      </c>
    </row>
    <row r="23" customFormat="false" ht="23.85" hidden="false" customHeight="false" outlineLevel="0" collapsed="false">
      <c r="A23" s="6" t="s">
        <v>89</v>
      </c>
      <c r="B23" s="7" t="s">
        <v>50</v>
      </c>
      <c r="C23" s="7" t="s">
        <v>51</v>
      </c>
      <c r="D23" s="6" t="s">
        <v>52</v>
      </c>
      <c r="E23" s="6" t="s">
        <v>53</v>
      </c>
      <c r="F23" s="7" t="s">
        <v>90</v>
      </c>
      <c r="G23" s="6" t="s">
        <v>55</v>
      </c>
      <c r="H23" s="6" t="s">
        <v>56</v>
      </c>
      <c r="I23" s="8" t="n">
        <f aca="false">IF(G23="Yes",1,IF(G23="Partial",0.5,0))</f>
        <v>1</v>
      </c>
      <c r="J23" s="8" t="n">
        <f aca="false">IF(H23="Yes",1,IF(H23="Partial",0.5,0))</f>
        <v>0.5</v>
      </c>
      <c r="K23" s="6" t="n">
        <v>4</v>
      </c>
      <c r="L23" s="6" t="n">
        <v>4</v>
      </c>
      <c r="M23" s="6" t="n">
        <v>4.2</v>
      </c>
      <c r="N23" s="6" t="n">
        <v>4.3</v>
      </c>
      <c r="O23" s="6" t="n">
        <v>42000</v>
      </c>
      <c r="P23" s="6" t="n">
        <v>58000</v>
      </c>
      <c r="Q23" s="7" t="s">
        <v>57</v>
      </c>
      <c r="R23" s="6" t="n">
        <v>4</v>
      </c>
      <c r="S23" s="6" t="n">
        <v>4</v>
      </c>
      <c r="T23" s="6" t="n">
        <v>4</v>
      </c>
      <c r="U23" s="6" t="n">
        <v>5</v>
      </c>
      <c r="V23" s="6" t="s">
        <v>58</v>
      </c>
      <c r="W23" s="6" t="n">
        <v>2</v>
      </c>
      <c r="X23" s="6" t="n">
        <v>4</v>
      </c>
      <c r="Y23" s="6" t="n">
        <v>22</v>
      </c>
      <c r="Z23" s="6" t="n">
        <f aca="false">(J23-I23)*K23</f>
        <v>-2</v>
      </c>
      <c r="AA23" s="8" t="n">
        <f aca="false">IF(Z23&lt;0,ABS(Z23),0)</f>
        <v>2</v>
      </c>
      <c r="AB23" s="8" t="n">
        <f aca="false">IF(Z23&gt;0,Z23*L23,0)</f>
        <v>0</v>
      </c>
      <c r="AC23" s="8" t="n">
        <f aca="false">O23/P23</f>
        <v>0.724137931034483</v>
      </c>
      <c r="AD23" s="9" t="str">
        <f aca="false">IF(AB23&gt;=15,"High Priority",IF(AB23&gt;=7,"Medium Priority",IF(AB23&gt;0,"Low Priority","Monitor / No Gap")))</f>
        <v>Monitor / No Gap</v>
      </c>
      <c r="AE23" s="10" t="str">
        <f aca="false">IF(AD23="High Priority","Build Immediately - Critical Feature Gap",IF(AD23="Medium Priority","Plan for Next Roadmap Cycle",IF(AD23="Low Priority","Monitor &amp; Reassess Quarterly","No Action - Parity or Competitive Advantage")))</f>
        <v>No Action - Parity or Competitive Advantage</v>
      </c>
    </row>
    <row r="24" customFormat="false" ht="23.85" hidden="false" customHeight="false" outlineLevel="0" collapsed="false">
      <c r="A24" s="6" t="s">
        <v>91</v>
      </c>
      <c r="B24" s="7" t="s">
        <v>50</v>
      </c>
      <c r="C24" s="7" t="s">
        <v>60</v>
      </c>
      <c r="D24" s="6" t="s">
        <v>52</v>
      </c>
      <c r="E24" s="6" t="s">
        <v>53</v>
      </c>
      <c r="F24" s="7" t="s">
        <v>90</v>
      </c>
      <c r="G24" s="6" t="s">
        <v>55</v>
      </c>
      <c r="H24" s="6" t="s">
        <v>55</v>
      </c>
      <c r="I24" s="8" t="n">
        <f aca="false">IF(G24="Yes",1,IF(G24="Partial",0.5,0))</f>
        <v>1</v>
      </c>
      <c r="J24" s="8" t="n">
        <f aca="false">IF(H24="Yes",1,IF(H24="Partial",0.5,0))</f>
        <v>1</v>
      </c>
      <c r="K24" s="6" t="n">
        <v>4</v>
      </c>
      <c r="L24" s="6" t="n">
        <v>4</v>
      </c>
      <c r="M24" s="6" t="n">
        <v>4.1</v>
      </c>
      <c r="N24" s="6" t="n">
        <v>3.9</v>
      </c>
      <c r="O24" s="6" t="n">
        <v>42000</v>
      </c>
      <c r="P24" s="6" t="n">
        <v>32000</v>
      </c>
      <c r="Q24" s="7" t="s">
        <v>61</v>
      </c>
      <c r="R24" s="6" t="n">
        <v>4</v>
      </c>
      <c r="S24" s="6" t="n">
        <v>4</v>
      </c>
      <c r="T24" s="6" t="n">
        <v>4</v>
      </c>
      <c r="U24" s="6" t="n">
        <v>5</v>
      </c>
      <c r="V24" s="6" t="s">
        <v>58</v>
      </c>
      <c r="W24" s="6" t="n">
        <v>2</v>
      </c>
      <c r="X24" s="6" t="n">
        <v>4</v>
      </c>
      <c r="Y24" s="6" t="n">
        <v>15</v>
      </c>
      <c r="Z24" s="6" t="n">
        <f aca="false">(J24-I24)*K24</f>
        <v>0</v>
      </c>
      <c r="AA24" s="8" t="n">
        <f aca="false">IF(Z24&lt;0,ABS(Z24),0)</f>
        <v>0</v>
      </c>
      <c r="AB24" s="8" t="n">
        <f aca="false">IF(Z24&gt;0,Z24*L24,0)</f>
        <v>0</v>
      </c>
      <c r="AC24" s="8" t="n">
        <f aca="false">O24/P24</f>
        <v>1.3125</v>
      </c>
      <c r="AD24" s="9" t="str">
        <f aca="false">IF(AB24&gt;=15,"High Priority",IF(AB24&gt;=7,"Medium Priority",IF(AB24&gt;0,"Low Priority","Monitor / No Gap")))</f>
        <v>Monitor / No Gap</v>
      </c>
      <c r="AE24" s="10" t="str">
        <f aca="false">IF(AD24="High Priority","Build Immediately - Critical Feature Gap",IF(AD24="Medium Priority","Plan for Next Roadmap Cycle",IF(AD24="Low Priority","Monitor &amp; Reassess Quarterly","No Action - Parity or Competitive Advantage")))</f>
        <v>No Action - Parity or Competitive Advantage</v>
      </c>
    </row>
    <row r="25" customFormat="false" ht="23.85" hidden="false" customHeight="false" outlineLevel="0" collapsed="false">
      <c r="A25" s="6" t="s">
        <v>92</v>
      </c>
      <c r="B25" s="7" t="s">
        <v>50</v>
      </c>
      <c r="C25" s="7" t="s">
        <v>63</v>
      </c>
      <c r="D25" s="6" t="s">
        <v>52</v>
      </c>
      <c r="E25" s="6" t="s">
        <v>53</v>
      </c>
      <c r="F25" s="7" t="s">
        <v>90</v>
      </c>
      <c r="G25" s="6" t="s">
        <v>55</v>
      </c>
      <c r="H25" s="6" t="s">
        <v>55</v>
      </c>
      <c r="I25" s="8" t="n">
        <f aca="false">IF(G25="Yes",1,IF(G25="Partial",0.5,0))</f>
        <v>1</v>
      </c>
      <c r="J25" s="8" t="n">
        <f aca="false">IF(H25="Yes",1,IF(H25="Partial",0.5,0))</f>
        <v>1</v>
      </c>
      <c r="K25" s="6" t="n">
        <v>4</v>
      </c>
      <c r="L25" s="6" t="n">
        <v>4</v>
      </c>
      <c r="M25" s="6" t="n">
        <v>4.2</v>
      </c>
      <c r="N25" s="6" t="n">
        <v>4.2</v>
      </c>
      <c r="O25" s="6" t="n">
        <v>42000</v>
      </c>
      <c r="P25" s="6" t="n">
        <v>47000</v>
      </c>
      <c r="Q25" s="7" t="s">
        <v>64</v>
      </c>
      <c r="R25" s="6" t="n">
        <v>4</v>
      </c>
      <c r="S25" s="6" t="n">
        <v>4</v>
      </c>
      <c r="T25" s="6" t="n">
        <v>4</v>
      </c>
      <c r="U25" s="6" t="n">
        <v>5</v>
      </c>
      <c r="V25" s="6" t="s">
        <v>58</v>
      </c>
      <c r="W25" s="6" t="n">
        <v>2</v>
      </c>
      <c r="X25" s="6" t="n">
        <v>4</v>
      </c>
      <c r="Y25" s="6" t="n">
        <v>18</v>
      </c>
      <c r="Z25" s="6" t="n">
        <f aca="false">(J25-I25)*K25</f>
        <v>0</v>
      </c>
      <c r="AA25" s="8" t="n">
        <f aca="false">IF(Z25&lt;0,ABS(Z25),0)</f>
        <v>0</v>
      </c>
      <c r="AB25" s="8" t="n">
        <f aca="false">IF(Z25&gt;0,Z25*L25,0)</f>
        <v>0</v>
      </c>
      <c r="AC25" s="8" t="n">
        <f aca="false">O25/P25</f>
        <v>0.893617021276596</v>
      </c>
      <c r="AD25" s="9" t="str">
        <f aca="false">IF(AB25&gt;=15,"High Priority",IF(AB25&gt;=7,"Medium Priority",IF(AB25&gt;0,"Low Priority","Monitor / No Gap")))</f>
        <v>Monitor / No Gap</v>
      </c>
      <c r="AE25" s="10" t="str">
        <f aca="false">IF(AD25="High Priority","Build Immediately - Critical Feature Gap",IF(AD25="Medium Priority","Plan for Next Roadmap Cycle",IF(AD25="Low Priority","Monitor &amp; Reassess Quarterly","No Action - Parity or Competitive Advantage")))</f>
        <v>No Action - Parity or Competitive Advantage</v>
      </c>
    </row>
    <row r="26" customFormat="false" ht="23.85" hidden="false" customHeight="false" outlineLevel="0" collapsed="false">
      <c r="A26" s="6" t="s">
        <v>93</v>
      </c>
      <c r="B26" s="7" t="s">
        <v>50</v>
      </c>
      <c r="C26" s="7" t="s">
        <v>51</v>
      </c>
      <c r="D26" s="6" t="s">
        <v>52</v>
      </c>
      <c r="E26" s="6" t="s">
        <v>94</v>
      </c>
      <c r="F26" s="7" t="s">
        <v>95</v>
      </c>
      <c r="G26" s="6" t="s">
        <v>56</v>
      </c>
      <c r="H26" s="6" t="s">
        <v>56</v>
      </c>
      <c r="I26" s="8" t="n">
        <f aca="false">IF(G26="Yes",1,IF(G26="Partial",0.5,0))</f>
        <v>0.5</v>
      </c>
      <c r="J26" s="8" t="n">
        <f aca="false">IF(H26="Yes",1,IF(H26="Partial",0.5,0))</f>
        <v>0.5</v>
      </c>
      <c r="K26" s="6" t="n">
        <v>5</v>
      </c>
      <c r="L26" s="6" t="n">
        <v>5</v>
      </c>
      <c r="M26" s="6" t="n">
        <v>4.1</v>
      </c>
      <c r="N26" s="6" t="n">
        <v>4.1</v>
      </c>
      <c r="O26" s="6" t="n">
        <v>42000</v>
      </c>
      <c r="P26" s="6" t="n">
        <v>58000</v>
      </c>
      <c r="Q26" s="7" t="s">
        <v>57</v>
      </c>
      <c r="R26" s="6" t="n">
        <v>4</v>
      </c>
      <c r="S26" s="6" t="n">
        <v>4</v>
      </c>
      <c r="T26" s="6" t="n">
        <v>4</v>
      </c>
      <c r="U26" s="6" t="n">
        <v>5</v>
      </c>
      <c r="V26" s="6" t="s">
        <v>58</v>
      </c>
      <c r="W26" s="6" t="n">
        <v>2</v>
      </c>
      <c r="X26" s="6" t="n">
        <v>4</v>
      </c>
      <c r="Y26" s="6" t="n">
        <v>22</v>
      </c>
      <c r="Z26" s="6" t="n">
        <f aca="false">(J26-I26)*K26</f>
        <v>0</v>
      </c>
      <c r="AA26" s="8" t="n">
        <f aca="false">IF(Z26&lt;0,ABS(Z26),0)</f>
        <v>0</v>
      </c>
      <c r="AB26" s="8" t="n">
        <f aca="false">IF(Z26&gt;0,Z26*L26,0)</f>
        <v>0</v>
      </c>
      <c r="AC26" s="8" t="n">
        <f aca="false">O26/P26</f>
        <v>0.724137931034483</v>
      </c>
      <c r="AD26" s="9" t="str">
        <f aca="false">IF(AB26&gt;=15,"High Priority",IF(AB26&gt;=7,"Medium Priority",IF(AB26&gt;0,"Low Priority","Monitor / No Gap")))</f>
        <v>Monitor / No Gap</v>
      </c>
      <c r="AE26" s="10" t="str">
        <f aca="false">IF(AD26="High Priority","Build Immediately - Critical Feature Gap",IF(AD26="Medium Priority","Plan for Next Roadmap Cycle",IF(AD26="Low Priority","Monitor &amp; Reassess Quarterly","No Action - Parity or Competitive Advantage")))</f>
        <v>No Action - Parity or Competitive Advantage</v>
      </c>
    </row>
    <row r="27" customFormat="false" ht="23.85" hidden="false" customHeight="false" outlineLevel="0" collapsed="false">
      <c r="A27" s="6" t="s">
        <v>96</v>
      </c>
      <c r="B27" s="7" t="s">
        <v>50</v>
      </c>
      <c r="C27" s="7" t="s">
        <v>60</v>
      </c>
      <c r="D27" s="6" t="s">
        <v>52</v>
      </c>
      <c r="E27" s="6" t="s">
        <v>94</v>
      </c>
      <c r="F27" s="7" t="s">
        <v>95</v>
      </c>
      <c r="G27" s="6" t="s">
        <v>56</v>
      </c>
      <c r="H27" s="6" t="s">
        <v>56</v>
      </c>
      <c r="I27" s="8" t="n">
        <f aca="false">IF(G27="Yes",1,IF(G27="Partial",0.5,0))</f>
        <v>0.5</v>
      </c>
      <c r="J27" s="8" t="n">
        <f aca="false">IF(H27="Yes",1,IF(H27="Partial",0.5,0))</f>
        <v>0.5</v>
      </c>
      <c r="K27" s="6" t="n">
        <v>5</v>
      </c>
      <c r="L27" s="6" t="n">
        <v>5</v>
      </c>
      <c r="M27" s="6" t="n">
        <v>4.1</v>
      </c>
      <c r="N27" s="6" t="n">
        <v>3.9</v>
      </c>
      <c r="O27" s="6" t="n">
        <v>42000</v>
      </c>
      <c r="P27" s="6" t="n">
        <v>32000</v>
      </c>
      <c r="Q27" s="7" t="s">
        <v>61</v>
      </c>
      <c r="R27" s="6" t="n">
        <v>4</v>
      </c>
      <c r="S27" s="6" t="n">
        <v>4</v>
      </c>
      <c r="T27" s="6" t="n">
        <v>4</v>
      </c>
      <c r="U27" s="6" t="n">
        <v>5</v>
      </c>
      <c r="V27" s="6" t="s">
        <v>58</v>
      </c>
      <c r="W27" s="6" t="n">
        <v>2</v>
      </c>
      <c r="X27" s="6" t="n">
        <v>4</v>
      </c>
      <c r="Y27" s="6" t="n">
        <v>15</v>
      </c>
      <c r="Z27" s="6" t="n">
        <f aca="false">(J27-I27)*K27</f>
        <v>0</v>
      </c>
      <c r="AA27" s="8" t="n">
        <f aca="false">IF(Z27&lt;0,ABS(Z27),0)</f>
        <v>0</v>
      </c>
      <c r="AB27" s="8" t="n">
        <f aca="false">IF(Z27&gt;0,Z27*L27,0)</f>
        <v>0</v>
      </c>
      <c r="AC27" s="8" t="n">
        <f aca="false">O27/P27</f>
        <v>1.3125</v>
      </c>
      <c r="AD27" s="9" t="str">
        <f aca="false">IF(AB27&gt;=15,"High Priority",IF(AB27&gt;=7,"Medium Priority",IF(AB27&gt;0,"Low Priority","Monitor / No Gap")))</f>
        <v>Monitor / No Gap</v>
      </c>
      <c r="AE27" s="10" t="str">
        <f aca="false">IF(AD27="High Priority","Build Immediately - Critical Feature Gap",IF(AD27="Medium Priority","Plan for Next Roadmap Cycle",IF(AD27="Low Priority","Monitor &amp; Reassess Quarterly","No Action - Parity or Competitive Advantage")))</f>
        <v>No Action - Parity or Competitive Advantage</v>
      </c>
    </row>
    <row r="28" customFormat="false" ht="23.85" hidden="false" customHeight="false" outlineLevel="0" collapsed="false">
      <c r="A28" s="6" t="s">
        <v>97</v>
      </c>
      <c r="B28" s="7" t="s">
        <v>50</v>
      </c>
      <c r="C28" s="7" t="s">
        <v>63</v>
      </c>
      <c r="D28" s="6" t="s">
        <v>52</v>
      </c>
      <c r="E28" s="6" t="s">
        <v>94</v>
      </c>
      <c r="F28" s="7" t="s">
        <v>95</v>
      </c>
      <c r="G28" s="6" t="s">
        <v>56</v>
      </c>
      <c r="H28" s="6" t="s">
        <v>55</v>
      </c>
      <c r="I28" s="8" t="n">
        <f aca="false">IF(G28="Yes",1,IF(G28="Partial",0.5,0))</f>
        <v>0.5</v>
      </c>
      <c r="J28" s="8" t="n">
        <f aca="false">IF(H28="Yes",1,IF(H28="Partial",0.5,0))</f>
        <v>1</v>
      </c>
      <c r="K28" s="6" t="n">
        <v>5</v>
      </c>
      <c r="L28" s="6" t="n">
        <v>5</v>
      </c>
      <c r="M28" s="6" t="n">
        <v>4.1</v>
      </c>
      <c r="N28" s="6" t="n">
        <v>4.2</v>
      </c>
      <c r="O28" s="6" t="n">
        <v>42000</v>
      </c>
      <c r="P28" s="6" t="n">
        <v>47000</v>
      </c>
      <c r="Q28" s="7" t="s">
        <v>64</v>
      </c>
      <c r="R28" s="6" t="n">
        <v>4</v>
      </c>
      <c r="S28" s="6" t="n">
        <v>4</v>
      </c>
      <c r="T28" s="6" t="n">
        <v>4</v>
      </c>
      <c r="U28" s="6" t="n">
        <v>5</v>
      </c>
      <c r="V28" s="6" t="s">
        <v>58</v>
      </c>
      <c r="W28" s="6" t="n">
        <v>2</v>
      </c>
      <c r="X28" s="6" t="n">
        <v>4</v>
      </c>
      <c r="Y28" s="6" t="n">
        <v>18</v>
      </c>
      <c r="Z28" s="6" t="n">
        <f aca="false">(J28-I28)*K28</f>
        <v>2.5</v>
      </c>
      <c r="AA28" s="8" t="n">
        <f aca="false">IF(Z28&lt;0,ABS(Z28),0)</f>
        <v>0</v>
      </c>
      <c r="AB28" s="8" t="n">
        <f aca="false">IF(Z28&gt;0,Z28*L28,0)</f>
        <v>12.5</v>
      </c>
      <c r="AC28" s="8" t="n">
        <f aca="false">O28/P28</f>
        <v>0.893617021276596</v>
      </c>
      <c r="AD28" s="9" t="str">
        <f aca="false">IF(AB28&gt;=15,"High Priority",IF(AB28&gt;=7,"Medium Priority",IF(AB28&gt;0,"Low Priority","Monitor / No Gap")))</f>
        <v>Medium Priority</v>
      </c>
      <c r="AE28" s="10" t="str">
        <f aca="false">IF(AD28="High Priority","Build Immediately - Critical Feature Gap",IF(AD28="Medium Priority","Plan for Next Roadmap Cycle",IF(AD28="Low Priority","Monitor &amp; Reassess Quarterly","No Action - Parity or Competitive Advantage")))</f>
        <v>Plan for Next Roadmap Cycle</v>
      </c>
    </row>
    <row r="29" customFormat="false" ht="23.85" hidden="false" customHeight="false" outlineLevel="0" collapsed="false">
      <c r="A29" s="6" t="s">
        <v>98</v>
      </c>
      <c r="B29" s="7" t="s">
        <v>50</v>
      </c>
      <c r="C29" s="7" t="s">
        <v>51</v>
      </c>
      <c r="D29" s="6" t="s">
        <v>52</v>
      </c>
      <c r="E29" s="6" t="s">
        <v>94</v>
      </c>
      <c r="F29" s="7" t="s">
        <v>99</v>
      </c>
      <c r="G29" s="6" t="s">
        <v>55</v>
      </c>
      <c r="H29" s="6" t="s">
        <v>55</v>
      </c>
      <c r="I29" s="8" t="n">
        <f aca="false">IF(G29="Yes",1,IF(G29="Partial",0.5,0))</f>
        <v>1</v>
      </c>
      <c r="J29" s="8" t="n">
        <f aca="false">IF(H29="Yes",1,IF(H29="Partial",0.5,0))</f>
        <v>1</v>
      </c>
      <c r="K29" s="6" t="n">
        <v>4</v>
      </c>
      <c r="L29" s="6" t="n">
        <v>4</v>
      </c>
      <c r="M29" s="6" t="n">
        <v>4.2</v>
      </c>
      <c r="N29" s="6" t="n">
        <v>4.6</v>
      </c>
      <c r="O29" s="6" t="n">
        <v>42000</v>
      </c>
      <c r="P29" s="6" t="n">
        <v>58000</v>
      </c>
      <c r="Q29" s="7" t="s">
        <v>57</v>
      </c>
      <c r="R29" s="6" t="n">
        <v>4</v>
      </c>
      <c r="S29" s="6" t="n">
        <v>4</v>
      </c>
      <c r="T29" s="6" t="n">
        <v>4</v>
      </c>
      <c r="U29" s="6" t="n">
        <v>5</v>
      </c>
      <c r="V29" s="6" t="s">
        <v>58</v>
      </c>
      <c r="W29" s="6" t="n">
        <v>2</v>
      </c>
      <c r="X29" s="6" t="n">
        <v>4</v>
      </c>
      <c r="Y29" s="6" t="n">
        <v>22</v>
      </c>
      <c r="Z29" s="6" t="n">
        <f aca="false">(J29-I29)*K29</f>
        <v>0</v>
      </c>
      <c r="AA29" s="8" t="n">
        <f aca="false">IF(Z29&lt;0,ABS(Z29),0)</f>
        <v>0</v>
      </c>
      <c r="AB29" s="8" t="n">
        <f aca="false">IF(Z29&gt;0,Z29*L29,0)</f>
        <v>0</v>
      </c>
      <c r="AC29" s="8" t="n">
        <f aca="false">O29/P29</f>
        <v>0.724137931034483</v>
      </c>
      <c r="AD29" s="9" t="str">
        <f aca="false">IF(AB29&gt;=15,"High Priority",IF(AB29&gt;=7,"Medium Priority",IF(AB29&gt;0,"Low Priority","Monitor / No Gap")))</f>
        <v>Monitor / No Gap</v>
      </c>
      <c r="AE29" s="10" t="str">
        <f aca="false">IF(AD29="High Priority","Build Immediately - Critical Feature Gap",IF(AD29="Medium Priority","Plan for Next Roadmap Cycle",IF(AD29="Low Priority","Monitor &amp; Reassess Quarterly","No Action - Parity or Competitive Advantage")))</f>
        <v>No Action - Parity or Competitive Advantage</v>
      </c>
    </row>
    <row r="30" customFormat="false" ht="23.85" hidden="false" customHeight="false" outlineLevel="0" collapsed="false">
      <c r="A30" s="6" t="s">
        <v>100</v>
      </c>
      <c r="B30" s="7" t="s">
        <v>50</v>
      </c>
      <c r="C30" s="7" t="s">
        <v>60</v>
      </c>
      <c r="D30" s="6" t="s">
        <v>52</v>
      </c>
      <c r="E30" s="6" t="s">
        <v>94</v>
      </c>
      <c r="F30" s="7" t="s">
        <v>99</v>
      </c>
      <c r="G30" s="6" t="s">
        <v>55</v>
      </c>
      <c r="H30" s="6" t="s">
        <v>56</v>
      </c>
      <c r="I30" s="8" t="n">
        <f aca="false">IF(G30="Yes",1,IF(G30="Partial",0.5,0))</f>
        <v>1</v>
      </c>
      <c r="J30" s="8" t="n">
        <f aca="false">IF(H30="Yes",1,IF(H30="Partial",0.5,0))</f>
        <v>0.5</v>
      </c>
      <c r="K30" s="6" t="n">
        <v>4</v>
      </c>
      <c r="L30" s="6" t="n">
        <v>4</v>
      </c>
      <c r="M30" s="6" t="n">
        <v>4.2</v>
      </c>
      <c r="N30" s="6" t="n">
        <v>3.6</v>
      </c>
      <c r="O30" s="6" t="n">
        <v>42000</v>
      </c>
      <c r="P30" s="6" t="n">
        <v>32000</v>
      </c>
      <c r="Q30" s="7" t="s">
        <v>61</v>
      </c>
      <c r="R30" s="6" t="n">
        <v>4</v>
      </c>
      <c r="S30" s="6" t="n">
        <v>4</v>
      </c>
      <c r="T30" s="6" t="n">
        <v>4</v>
      </c>
      <c r="U30" s="6" t="n">
        <v>5</v>
      </c>
      <c r="V30" s="6" t="s">
        <v>58</v>
      </c>
      <c r="W30" s="6" t="n">
        <v>2</v>
      </c>
      <c r="X30" s="6" t="n">
        <v>4</v>
      </c>
      <c r="Y30" s="6" t="n">
        <v>15</v>
      </c>
      <c r="Z30" s="6" t="n">
        <f aca="false">(J30-I30)*K30</f>
        <v>-2</v>
      </c>
      <c r="AA30" s="8" t="n">
        <f aca="false">IF(Z30&lt;0,ABS(Z30),0)</f>
        <v>2</v>
      </c>
      <c r="AB30" s="8" t="n">
        <f aca="false">IF(Z30&gt;0,Z30*L30,0)</f>
        <v>0</v>
      </c>
      <c r="AC30" s="8" t="n">
        <f aca="false">O30/P30</f>
        <v>1.3125</v>
      </c>
      <c r="AD30" s="9" t="str">
        <f aca="false">IF(AB30&gt;=15,"High Priority",IF(AB30&gt;=7,"Medium Priority",IF(AB30&gt;0,"Low Priority","Monitor / No Gap")))</f>
        <v>Monitor / No Gap</v>
      </c>
      <c r="AE30" s="10" t="str">
        <f aca="false">IF(AD30="High Priority","Build Immediately - Critical Feature Gap",IF(AD30="Medium Priority","Plan for Next Roadmap Cycle",IF(AD30="Low Priority","Monitor &amp; Reassess Quarterly","No Action - Parity or Competitive Advantage")))</f>
        <v>No Action - Parity or Competitive Advantage</v>
      </c>
    </row>
    <row r="31" customFormat="false" ht="23.85" hidden="false" customHeight="false" outlineLevel="0" collapsed="false">
      <c r="A31" s="6" t="s">
        <v>101</v>
      </c>
      <c r="B31" s="7" t="s">
        <v>50</v>
      </c>
      <c r="C31" s="7" t="s">
        <v>63</v>
      </c>
      <c r="D31" s="6" t="s">
        <v>52</v>
      </c>
      <c r="E31" s="6" t="s">
        <v>94</v>
      </c>
      <c r="F31" s="7" t="s">
        <v>99</v>
      </c>
      <c r="G31" s="6" t="s">
        <v>55</v>
      </c>
      <c r="H31" s="6" t="s">
        <v>55</v>
      </c>
      <c r="I31" s="8" t="n">
        <f aca="false">IF(G31="Yes",1,IF(G31="Partial",0.5,0))</f>
        <v>1</v>
      </c>
      <c r="J31" s="8" t="n">
        <f aca="false">IF(H31="Yes",1,IF(H31="Partial",0.5,0))</f>
        <v>1</v>
      </c>
      <c r="K31" s="6" t="n">
        <v>4</v>
      </c>
      <c r="L31" s="6" t="n">
        <v>4</v>
      </c>
      <c r="M31" s="6" t="n">
        <v>4</v>
      </c>
      <c r="N31" s="6" t="n">
        <v>4.1</v>
      </c>
      <c r="O31" s="6" t="n">
        <v>42000</v>
      </c>
      <c r="P31" s="6" t="n">
        <v>47000</v>
      </c>
      <c r="Q31" s="7" t="s">
        <v>64</v>
      </c>
      <c r="R31" s="6" t="n">
        <v>4</v>
      </c>
      <c r="S31" s="6" t="n">
        <v>4</v>
      </c>
      <c r="T31" s="6" t="n">
        <v>4</v>
      </c>
      <c r="U31" s="6" t="n">
        <v>5</v>
      </c>
      <c r="V31" s="6" t="s">
        <v>58</v>
      </c>
      <c r="W31" s="6" t="n">
        <v>2</v>
      </c>
      <c r="X31" s="6" t="n">
        <v>4</v>
      </c>
      <c r="Y31" s="6" t="n">
        <v>18</v>
      </c>
      <c r="Z31" s="6" t="n">
        <f aca="false">(J31-I31)*K31</f>
        <v>0</v>
      </c>
      <c r="AA31" s="8" t="n">
        <f aca="false">IF(Z31&lt;0,ABS(Z31),0)</f>
        <v>0</v>
      </c>
      <c r="AB31" s="8" t="n">
        <f aca="false">IF(Z31&gt;0,Z31*L31,0)</f>
        <v>0</v>
      </c>
      <c r="AC31" s="8" t="n">
        <f aca="false">O31/P31</f>
        <v>0.893617021276596</v>
      </c>
      <c r="AD31" s="9" t="str">
        <f aca="false">IF(AB31&gt;=15,"High Priority",IF(AB31&gt;=7,"Medium Priority",IF(AB31&gt;0,"Low Priority","Monitor / No Gap")))</f>
        <v>Monitor / No Gap</v>
      </c>
      <c r="AE31" s="10" t="str">
        <f aca="false">IF(AD31="High Priority","Build Immediately - Critical Feature Gap",IF(AD31="Medium Priority","Plan for Next Roadmap Cycle",IF(AD31="Low Priority","Monitor &amp; Reassess Quarterly","No Action - Parity or Competitive Advantage")))</f>
        <v>No Action - Parity or Competitive Advantage</v>
      </c>
    </row>
    <row r="32" customFormat="false" ht="23.85" hidden="false" customHeight="false" outlineLevel="0" collapsed="false">
      <c r="A32" s="6" t="s">
        <v>102</v>
      </c>
      <c r="B32" s="7" t="s">
        <v>50</v>
      </c>
      <c r="C32" s="7" t="s">
        <v>51</v>
      </c>
      <c r="D32" s="6" t="s">
        <v>52</v>
      </c>
      <c r="E32" s="6" t="s">
        <v>94</v>
      </c>
      <c r="F32" s="7" t="s">
        <v>103</v>
      </c>
      <c r="G32" s="6" t="s">
        <v>56</v>
      </c>
      <c r="H32" s="6" t="s">
        <v>55</v>
      </c>
      <c r="I32" s="8" t="n">
        <f aca="false">IF(G32="Yes",1,IF(G32="Partial",0.5,0))</f>
        <v>0.5</v>
      </c>
      <c r="J32" s="8" t="n">
        <f aca="false">IF(H32="Yes",1,IF(H32="Partial",0.5,0))</f>
        <v>1</v>
      </c>
      <c r="K32" s="6" t="n">
        <v>4</v>
      </c>
      <c r="L32" s="6" t="n">
        <v>3</v>
      </c>
      <c r="M32" s="6" t="n">
        <v>4.2</v>
      </c>
      <c r="N32" s="6" t="n">
        <v>4.7</v>
      </c>
      <c r="O32" s="6" t="n">
        <v>42000</v>
      </c>
      <c r="P32" s="6" t="n">
        <v>58000</v>
      </c>
      <c r="Q32" s="7" t="s">
        <v>57</v>
      </c>
      <c r="R32" s="6" t="n">
        <v>4</v>
      </c>
      <c r="S32" s="6" t="n">
        <v>4</v>
      </c>
      <c r="T32" s="6" t="n">
        <v>4</v>
      </c>
      <c r="U32" s="6" t="n">
        <v>5</v>
      </c>
      <c r="V32" s="6" t="s">
        <v>58</v>
      </c>
      <c r="W32" s="6" t="n">
        <v>2</v>
      </c>
      <c r="X32" s="6" t="n">
        <v>4</v>
      </c>
      <c r="Y32" s="6" t="n">
        <v>22</v>
      </c>
      <c r="Z32" s="6" t="n">
        <f aca="false">(J32-I32)*K32</f>
        <v>2</v>
      </c>
      <c r="AA32" s="8" t="n">
        <f aca="false">IF(Z32&lt;0,ABS(Z32),0)</f>
        <v>0</v>
      </c>
      <c r="AB32" s="8" t="n">
        <f aca="false">IF(Z32&gt;0,Z32*L32,0)</f>
        <v>6</v>
      </c>
      <c r="AC32" s="8" t="n">
        <f aca="false">O32/P32</f>
        <v>0.724137931034483</v>
      </c>
      <c r="AD32" s="9" t="str">
        <f aca="false">IF(AB32&gt;=15,"High Priority",IF(AB32&gt;=7,"Medium Priority",IF(AB32&gt;0,"Low Priority","Monitor / No Gap")))</f>
        <v>Low Priority</v>
      </c>
      <c r="AE32" s="10" t="str">
        <f aca="false">IF(AD32="High Priority","Build Immediately - Critical Feature Gap",IF(AD32="Medium Priority","Plan for Next Roadmap Cycle",IF(AD32="Low Priority","Monitor &amp; Reassess Quarterly","No Action - Parity or Competitive Advantage")))</f>
        <v>Monitor &amp; Reassess Quarterly</v>
      </c>
    </row>
    <row r="33" customFormat="false" ht="23.85" hidden="false" customHeight="false" outlineLevel="0" collapsed="false">
      <c r="A33" s="6" t="s">
        <v>104</v>
      </c>
      <c r="B33" s="7" t="s">
        <v>50</v>
      </c>
      <c r="C33" s="7" t="s">
        <v>60</v>
      </c>
      <c r="D33" s="6" t="s">
        <v>52</v>
      </c>
      <c r="E33" s="6" t="s">
        <v>94</v>
      </c>
      <c r="F33" s="7" t="s">
        <v>103</v>
      </c>
      <c r="G33" s="6" t="s">
        <v>56</v>
      </c>
      <c r="H33" s="6" t="s">
        <v>56</v>
      </c>
      <c r="I33" s="8" t="n">
        <f aca="false">IF(G33="Yes",1,IF(G33="Partial",0.5,0))</f>
        <v>0.5</v>
      </c>
      <c r="J33" s="8" t="n">
        <f aca="false">IF(H33="Yes",1,IF(H33="Partial",0.5,0))</f>
        <v>0.5</v>
      </c>
      <c r="K33" s="6" t="n">
        <v>4</v>
      </c>
      <c r="L33" s="6" t="n">
        <v>3</v>
      </c>
      <c r="M33" s="6" t="n">
        <v>4.1</v>
      </c>
      <c r="N33" s="6" t="n">
        <v>3.5</v>
      </c>
      <c r="O33" s="6" t="n">
        <v>42000</v>
      </c>
      <c r="P33" s="6" t="n">
        <v>32000</v>
      </c>
      <c r="Q33" s="7" t="s">
        <v>61</v>
      </c>
      <c r="R33" s="6" t="n">
        <v>4</v>
      </c>
      <c r="S33" s="6" t="n">
        <v>4</v>
      </c>
      <c r="T33" s="6" t="n">
        <v>4</v>
      </c>
      <c r="U33" s="6" t="n">
        <v>5</v>
      </c>
      <c r="V33" s="6" t="s">
        <v>58</v>
      </c>
      <c r="W33" s="6" t="n">
        <v>2</v>
      </c>
      <c r="X33" s="6" t="n">
        <v>4</v>
      </c>
      <c r="Y33" s="6" t="n">
        <v>15</v>
      </c>
      <c r="Z33" s="6" t="n">
        <f aca="false">(J33-I33)*K33</f>
        <v>0</v>
      </c>
      <c r="AA33" s="8" t="n">
        <f aca="false">IF(Z33&lt;0,ABS(Z33),0)</f>
        <v>0</v>
      </c>
      <c r="AB33" s="8" t="n">
        <f aca="false">IF(Z33&gt;0,Z33*L33,0)</f>
        <v>0</v>
      </c>
      <c r="AC33" s="8" t="n">
        <f aca="false">O33/P33</f>
        <v>1.3125</v>
      </c>
      <c r="AD33" s="9" t="str">
        <f aca="false">IF(AB33&gt;=15,"High Priority",IF(AB33&gt;=7,"Medium Priority",IF(AB33&gt;0,"Low Priority","Monitor / No Gap")))</f>
        <v>Monitor / No Gap</v>
      </c>
      <c r="AE33" s="10" t="str">
        <f aca="false">IF(AD33="High Priority","Build Immediately - Critical Feature Gap",IF(AD33="Medium Priority","Plan for Next Roadmap Cycle",IF(AD33="Low Priority","Monitor &amp; Reassess Quarterly","No Action - Parity or Competitive Advantage")))</f>
        <v>No Action - Parity or Competitive Advantage</v>
      </c>
    </row>
    <row r="34" customFormat="false" ht="23.85" hidden="false" customHeight="false" outlineLevel="0" collapsed="false">
      <c r="A34" s="6" t="s">
        <v>105</v>
      </c>
      <c r="B34" s="7" t="s">
        <v>50</v>
      </c>
      <c r="C34" s="7" t="s">
        <v>63</v>
      </c>
      <c r="D34" s="6" t="s">
        <v>52</v>
      </c>
      <c r="E34" s="6" t="s">
        <v>94</v>
      </c>
      <c r="F34" s="7" t="s">
        <v>103</v>
      </c>
      <c r="G34" s="6" t="s">
        <v>56</v>
      </c>
      <c r="H34" s="6" t="s">
        <v>58</v>
      </c>
      <c r="I34" s="8" t="n">
        <f aca="false">IF(G34="Yes",1,IF(G34="Partial",0.5,0))</f>
        <v>0.5</v>
      </c>
      <c r="J34" s="8" t="n">
        <f aca="false">IF(H34="Yes",1,IF(H34="Partial",0.5,0))</f>
        <v>0</v>
      </c>
      <c r="K34" s="6" t="n">
        <v>4</v>
      </c>
      <c r="L34" s="6" t="n">
        <v>3</v>
      </c>
      <c r="M34" s="6" t="n">
        <v>4.2</v>
      </c>
      <c r="N34" s="6" t="n">
        <v>3.6</v>
      </c>
      <c r="O34" s="6" t="n">
        <v>42000</v>
      </c>
      <c r="P34" s="6" t="n">
        <v>47000</v>
      </c>
      <c r="Q34" s="7" t="s">
        <v>64</v>
      </c>
      <c r="R34" s="6" t="n">
        <v>4</v>
      </c>
      <c r="S34" s="6" t="n">
        <v>4</v>
      </c>
      <c r="T34" s="6" t="n">
        <v>4</v>
      </c>
      <c r="U34" s="6" t="n">
        <v>5</v>
      </c>
      <c r="V34" s="6" t="s">
        <v>58</v>
      </c>
      <c r="W34" s="6" t="n">
        <v>2</v>
      </c>
      <c r="X34" s="6" t="n">
        <v>4</v>
      </c>
      <c r="Y34" s="6" t="n">
        <v>18</v>
      </c>
      <c r="Z34" s="6" t="n">
        <f aca="false">(J34-I34)*K34</f>
        <v>-2</v>
      </c>
      <c r="AA34" s="8" t="n">
        <f aca="false">IF(Z34&lt;0,ABS(Z34),0)</f>
        <v>2</v>
      </c>
      <c r="AB34" s="8" t="n">
        <f aca="false">IF(Z34&gt;0,Z34*L34,0)</f>
        <v>0</v>
      </c>
      <c r="AC34" s="8" t="n">
        <f aca="false">O34/P34</f>
        <v>0.893617021276596</v>
      </c>
      <c r="AD34" s="9" t="str">
        <f aca="false">IF(AB34&gt;=15,"High Priority",IF(AB34&gt;=7,"Medium Priority",IF(AB34&gt;0,"Low Priority","Monitor / No Gap")))</f>
        <v>Monitor / No Gap</v>
      </c>
      <c r="AE34" s="10" t="str">
        <f aca="false">IF(AD34="High Priority","Build Immediately - Critical Feature Gap",IF(AD34="Medium Priority","Plan for Next Roadmap Cycle",IF(AD34="Low Priority","Monitor &amp; Reassess Quarterly","No Action - Parity or Competitive Advantage")))</f>
        <v>No Action - Parity or Competitive Advantage</v>
      </c>
    </row>
    <row r="35" customFormat="false" ht="23.85" hidden="false" customHeight="false" outlineLevel="0" collapsed="false">
      <c r="A35" s="6" t="s">
        <v>106</v>
      </c>
      <c r="B35" s="7" t="s">
        <v>50</v>
      </c>
      <c r="C35" s="7" t="s">
        <v>51</v>
      </c>
      <c r="D35" s="6" t="s">
        <v>52</v>
      </c>
      <c r="E35" s="6" t="s">
        <v>94</v>
      </c>
      <c r="F35" s="7" t="s">
        <v>107</v>
      </c>
      <c r="G35" s="6" t="s">
        <v>58</v>
      </c>
      <c r="H35" s="6" t="s">
        <v>56</v>
      </c>
      <c r="I35" s="8" t="n">
        <f aca="false">IF(G35="Yes",1,IF(G35="Partial",0.5,0))</f>
        <v>0</v>
      </c>
      <c r="J35" s="8" t="n">
        <f aca="false">IF(H35="Yes",1,IF(H35="Partial",0.5,0))</f>
        <v>0.5</v>
      </c>
      <c r="K35" s="6" t="n">
        <v>3</v>
      </c>
      <c r="L35" s="6" t="n">
        <v>3</v>
      </c>
      <c r="M35" s="6" t="n">
        <v>4.1</v>
      </c>
      <c r="N35" s="6" t="n">
        <v>4</v>
      </c>
      <c r="O35" s="6" t="n">
        <v>42000</v>
      </c>
      <c r="P35" s="6" t="n">
        <v>58000</v>
      </c>
      <c r="Q35" s="7" t="s">
        <v>57</v>
      </c>
      <c r="R35" s="6" t="n">
        <v>4</v>
      </c>
      <c r="S35" s="6" t="n">
        <v>4</v>
      </c>
      <c r="T35" s="6" t="n">
        <v>4</v>
      </c>
      <c r="U35" s="6" t="n">
        <v>5</v>
      </c>
      <c r="V35" s="6" t="s">
        <v>58</v>
      </c>
      <c r="W35" s="6" t="n">
        <v>2</v>
      </c>
      <c r="X35" s="6" t="n">
        <v>4</v>
      </c>
      <c r="Y35" s="6" t="n">
        <v>22</v>
      </c>
      <c r="Z35" s="6" t="n">
        <f aca="false">(J35-I35)*K35</f>
        <v>1.5</v>
      </c>
      <c r="AA35" s="8" t="n">
        <f aca="false">IF(Z35&lt;0,ABS(Z35),0)</f>
        <v>0</v>
      </c>
      <c r="AB35" s="8" t="n">
        <f aca="false">IF(Z35&gt;0,Z35*L35,0)</f>
        <v>4.5</v>
      </c>
      <c r="AC35" s="8" t="n">
        <f aca="false">O35/P35</f>
        <v>0.724137931034483</v>
      </c>
      <c r="AD35" s="9" t="str">
        <f aca="false">IF(AB35&gt;=15,"High Priority",IF(AB35&gt;=7,"Medium Priority",IF(AB35&gt;0,"Low Priority","Monitor / No Gap")))</f>
        <v>Low Priority</v>
      </c>
      <c r="AE35" s="10" t="str">
        <f aca="false">IF(AD35="High Priority","Build Immediately - Critical Feature Gap",IF(AD35="Medium Priority","Plan for Next Roadmap Cycle",IF(AD35="Low Priority","Monitor &amp; Reassess Quarterly","No Action - Parity or Competitive Advantage")))</f>
        <v>Monitor &amp; Reassess Quarterly</v>
      </c>
    </row>
    <row r="36" customFormat="false" ht="23.85" hidden="false" customHeight="false" outlineLevel="0" collapsed="false">
      <c r="A36" s="6" t="s">
        <v>108</v>
      </c>
      <c r="B36" s="7" t="s">
        <v>50</v>
      </c>
      <c r="C36" s="7" t="s">
        <v>60</v>
      </c>
      <c r="D36" s="6" t="s">
        <v>52</v>
      </c>
      <c r="E36" s="6" t="s">
        <v>94</v>
      </c>
      <c r="F36" s="7" t="s">
        <v>107</v>
      </c>
      <c r="G36" s="6" t="s">
        <v>58</v>
      </c>
      <c r="H36" s="6" t="s">
        <v>58</v>
      </c>
      <c r="I36" s="8" t="n">
        <f aca="false">IF(G36="Yes",1,IF(G36="Partial",0.5,0))</f>
        <v>0</v>
      </c>
      <c r="J36" s="8" t="n">
        <f aca="false">IF(H36="Yes",1,IF(H36="Partial",0.5,0))</f>
        <v>0</v>
      </c>
      <c r="K36" s="6" t="n">
        <v>3</v>
      </c>
      <c r="L36" s="6" t="n">
        <v>3</v>
      </c>
      <c r="M36" s="6" t="n">
        <v>4.1</v>
      </c>
      <c r="N36" s="6" t="n">
        <v>3.4</v>
      </c>
      <c r="O36" s="6" t="n">
        <v>42000</v>
      </c>
      <c r="P36" s="6" t="n">
        <v>32000</v>
      </c>
      <c r="Q36" s="7" t="s">
        <v>61</v>
      </c>
      <c r="R36" s="6" t="n">
        <v>4</v>
      </c>
      <c r="S36" s="6" t="n">
        <v>4</v>
      </c>
      <c r="T36" s="6" t="n">
        <v>4</v>
      </c>
      <c r="U36" s="6" t="n">
        <v>5</v>
      </c>
      <c r="V36" s="6" t="s">
        <v>58</v>
      </c>
      <c r="W36" s="6" t="n">
        <v>2</v>
      </c>
      <c r="X36" s="6" t="n">
        <v>4</v>
      </c>
      <c r="Y36" s="6" t="n">
        <v>15</v>
      </c>
      <c r="Z36" s="6" t="n">
        <f aca="false">(J36-I36)*K36</f>
        <v>0</v>
      </c>
      <c r="AA36" s="8" t="n">
        <f aca="false">IF(Z36&lt;0,ABS(Z36),0)</f>
        <v>0</v>
      </c>
      <c r="AB36" s="8" t="n">
        <f aca="false">IF(Z36&gt;0,Z36*L36,0)</f>
        <v>0</v>
      </c>
      <c r="AC36" s="8" t="n">
        <f aca="false">O36/P36</f>
        <v>1.3125</v>
      </c>
      <c r="AD36" s="9" t="str">
        <f aca="false">IF(AB36&gt;=15,"High Priority",IF(AB36&gt;=7,"Medium Priority",IF(AB36&gt;0,"Low Priority","Monitor / No Gap")))</f>
        <v>Monitor / No Gap</v>
      </c>
      <c r="AE36" s="10" t="str">
        <f aca="false">IF(AD36="High Priority","Build Immediately - Critical Feature Gap",IF(AD36="Medium Priority","Plan for Next Roadmap Cycle",IF(AD36="Low Priority","Monitor &amp; Reassess Quarterly","No Action - Parity or Competitive Advantage")))</f>
        <v>No Action - Parity or Competitive Advantage</v>
      </c>
    </row>
    <row r="37" customFormat="false" ht="23.85" hidden="false" customHeight="false" outlineLevel="0" collapsed="false">
      <c r="A37" s="6" t="s">
        <v>109</v>
      </c>
      <c r="B37" s="7" t="s">
        <v>50</v>
      </c>
      <c r="C37" s="7" t="s">
        <v>63</v>
      </c>
      <c r="D37" s="6" t="s">
        <v>52</v>
      </c>
      <c r="E37" s="6" t="s">
        <v>94</v>
      </c>
      <c r="F37" s="7" t="s">
        <v>107</v>
      </c>
      <c r="G37" s="6" t="s">
        <v>58</v>
      </c>
      <c r="H37" s="6" t="s">
        <v>56</v>
      </c>
      <c r="I37" s="8" t="n">
        <f aca="false">IF(G37="Yes",1,IF(G37="Partial",0.5,0))</f>
        <v>0</v>
      </c>
      <c r="J37" s="8" t="n">
        <f aca="false">IF(H37="Yes",1,IF(H37="Partial",0.5,0))</f>
        <v>0.5</v>
      </c>
      <c r="K37" s="6" t="n">
        <v>3</v>
      </c>
      <c r="L37" s="6" t="n">
        <v>3</v>
      </c>
      <c r="M37" s="6" t="n">
        <v>4.1</v>
      </c>
      <c r="N37" s="6" t="n">
        <v>3.7</v>
      </c>
      <c r="O37" s="6" t="n">
        <v>42000</v>
      </c>
      <c r="P37" s="6" t="n">
        <v>47000</v>
      </c>
      <c r="Q37" s="7" t="s">
        <v>64</v>
      </c>
      <c r="R37" s="6" t="n">
        <v>4</v>
      </c>
      <c r="S37" s="6" t="n">
        <v>4</v>
      </c>
      <c r="T37" s="6" t="n">
        <v>4</v>
      </c>
      <c r="U37" s="6" t="n">
        <v>5</v>
      </c>
      <c r="V37" s="6" t="s">
        <v>58</v>
      </c>
      <c r="W37" s="6" t="n">
        <v>2</v>
      </c>
      <c r="X37" s="6" t="n">
        <v>4</v>
      </c>
      <c r="Y37" s="6" t="n">
        <v>18</v>
      </c>
      <c r="Z37" s="6" t="n">
        <f aca="false">(J37-I37)*K37</f>
        <v>1.5</v>
      </c>
      <c r="AA37" s="8" t="n">
        <f aca="false">IF(Z37&lt;0,ABS(Z37),0)</f>
        <v>0</v>
      </c>
      <c r="AB37" s="8" t="n">
        <f aca="false">IF(Z37&gt;0,Z37*L37,0)</f>
        <v>4.5</v>
      </c>
      <c r="AC37" s="8" t="n">
        <f aca="false">O37/P37</f>
        <v>0.893617021276596</v>
      </c>
      <c r="AD37" s="9" t="str">
        <f aca="false">IF(AB37&gt;=15,"High Priority",IF(AB37&gt;=7,"Medium Priority",IF(AB37&gt;0,"Low Priority","Monitor / No Gap")))</f>
        <v>Low Priority</v>
      </c>
      <c r="AE37" s="10" t="str">
        <f aca="false">IF(AD37="High Priority","Build Immediately - Critical Feature Gap",IF(AD37="Medium Priority","Plan for Next Roadmap Cycle",IF(AD37="Low Priority","Monitor &amp; Reassess Quarterly","No Action - Parity or Competitive Advantage")))</f>
        <v>Monitor &amp; Reassess Quarterly</v>
      </c>
    </row>
    <row r="38" customFormat="false" ht="23.85" hidden="false" customHeight="false" outlineLevel="0" collapsed="false">
      <c r="A38" s="6" t="s">
        <v>110</v>
      </c>
      <c r="B38" s="7" t="s">
        <v>50</v>
      </c>
      <c r="C38" s="7" t="s">
        <v>51</v>
      </c>
      <c r="D38" s="6" t="s">
        <v>52</v>
      </c>
      <c r="E38" s="6" t="s">
        <v>94</v>
      </c>
      <c r="F38" s="7" t="s">
        <v>111</v>
      </c>
      <c r="G38" s="6" t="s">
        <v>58</v>
      </c>
      <c r="H38" s="6" t="s">
        <v>55</v>
      </c>
      <c r="I38" s="8" t="n">
        <f aca="false">IF(G38="Yes",1,IF(G38="Partial",0.5,0))</f>
        <v>0</v>
      </c>
      <c r="J38" s="8" t="n">
        <f aca="false">IF(H38="Yes",1,IF(H38="Partial",0.5,0))</f>
        <v>1</v>
      </c>
      <c r="K38" s="6" t="n">
        <v>3</v>
      </c>
      <c r="L38" s="6" t="n">
        <v>2</v>
      </c>
      <c r="M38" s="6" t="n">
        <v>4.2</v>
      </c>
      <c r="N38" s="6" t="n">
        <v>4.8</v>
      </c>
      <c r="O38" s="6" t="n">
        <v>42000</v>
      </c>
      <c r="P38" s="6" t="n">
        <v>58000</v>
      </c>
      <c r="Q38" s="7" t="s">
        <v>57</v>
      </c>
      <c r="R38" s="6" t="n">
        <v>4</v>
      </c>
      <c r="S38" s="6" t="n">
        <v>4</v>
      </c>
      <c r="T38" s="6" t="n">
        <v>4</v>
      </c>
      <c r="U38" s="6" t="n">
        <v>5</v>
      </c>
      <c r="V38" s="6" t="s">
        <v>58</v>
      </c>
      <c r="W38" s="6" t="n">
        <v>2</v>
      </c>
      <c r="X38" s="6" t="n">
        <v>4</v>
      </c>
      <c r="Y38" s="6" t="n">
        <v>22</v>
      </c>
      <c r="Z38" s="6" t="n">
        <f aca="false">(J38-I38)*K38</f>
        <v>3</v>
      </c>
      <c r="AA38" s="8" t="n">
        <f aca="false">IF(Z38&lt;0,ABS(Z38),0)</f>
        <v>0</v>
      </c>
      <c r="AB38" s="8" t="n">
        <f aca="false">IF(Z38&gt;0,Z38*L38,0)</f>
        <v>6</v>
      </c>
      <c r="AC38" s="8" t="n">
        <f aca="false">O38/P38</f>
        <v>0.724137931034483</v>
      </c>
      <c r="AD38" s="9" t="str">
        <f aca="false">IF(AB38&gt;=15,"High Priority",IF(AB38&gt;=7,"Medium Priority",IF(AB38&gt;0,"Low Priority","Monitor / No Gap")))</f>
        <v>Low Priority</v>
      </c>
      <c r="AE38" s="10" t="str">
        <f aca="false">IF(AD38="High Priority","Build Immediately - Critical Feature Gap",IF(AD38="Medium Priority","Plan for Next Roadmap Cycle",IF(AD38="Low Priority","Monitor &amp; Reassess Quarterly","No Action - Parity or Competitive Advantage")))</f>
        <v>Monitor &amp; Reassess Quarterly</v>
      </c>
    </row>
    <row r="39" customFormat="false" ht="23.85" hidden="false" customHeight="false" outlineLevel="0" collapsed="false">
      <c r="A39" s="6" t="s">
        <v>112</v>
      </c>
      <c r="B39" s="7" t="s">
        <v>50</v>
      </c>
      <c r="C39" s="7" t="s">
        <v>60</v>
      </c>
      <c r="D39" s="6" t="s">
        <v>52</v>
      </c>
      <c r="E39" s="6" t="s">
        <v>94</v>
      </c>
      <c r="F39" s="7" t="s">
        <v>111</v>
      </c>
      <c r="G39" s="6" t="s">
        <v>58</v>
      </c>
      <c r="H39" s="6" t="s">
        <v>56</v>
      </c>
      <c r="I39" s="8" t="n">
        <f aca="false">IF(G39="Yes",1,IF(G39="Partial",0.5,0))</f>
        <v>0</v>
      </c>
      <c r="J39" s="8" t="n">
        <f aca="false">IF(H39="Yes",1,IF(H39="Partial",0.5,0))</f>
        <v>0.5</v>
      </c>
      <c r="K39" s="6" t="n">
        <v>3</v>
      </c>
      <c r="L39" s="6" t="n">
        <v>2</v>
      </c>
      <c r="M39" s="6" t="n">
        <v>4</v>
      </c>
      <c r="N39" s="6" t="n">
        <v>3.7</v>
      </c>
      <c r="O39" s="6" t="n">
        <v>42000</v>
      </c>
      <c r="P39" s="6" t="n">
        <v>32000</v>
      </c>
      <c r="Q39" s="7" t="s">
        <v>61</v>
      </c>
      <c r="R39" s="6" t="n">
        <v>4</v>
      </c>
      <c r="S39" s="6" t="n">
        <v>4</v>
      </c>
      <c r="T39" s="6" t="n">
        <v>4</v>
      </c>
      <c r="U39" s="6" t="n">
        <v>5</v>
      </c>
      <c r="V39" s="6" t="s">
        <v>58</v>
      </c>
      <c r="W39" s="6" t="n">
        <v>2</v>
      </c>
      <c r="X39" s="6" t="n">
        <v>4</v>
      </c>
      <c r="Y39" s="6" t="n">
        <v>15</v>
      </c>
      <c r="Z39" s="6" t="n">
        <f aca="false">(J39-I39)*K39</f>
        <v>1.5</v>
      </c>
      <c r="AA39" s="8" t="n">
        <f aca="false">IF(Z39&lt;0,ABS(Z39),0)</f>
        <v>0</v>
      </c>
      <c r="AB39" s="8" t="n">
        <f aca="false">IF(Z39&gt;0,Z39*L39,0)</f>
        <v>3</v>
      </c>
      <c r="AC39" s="8" t="n">
        <f aca="false">O39/P39</f>
        <v>1.3125</v>
      </c>
      <c r="AD39" s="9" t="str">
        <f aca="false">IF(AB39&gt;=15,"High Priority",IF(AB39&gt;=7,"Medium Priority",IF(AB39&gt;0,"Low Priority","Monitor / No Gap")))</f>
        <v>Low Priority</v>
      </c>
      <c r="AE39" s="10" t="str">
        <f aca="false">IF(AD39="High Priority","Build Immediately - Critical Feature Gap",IF(AD39="Medium Priority","Plan for Next Roadmap Cycle",IF(AD39="Low Priority","Monitor &amp; Reassess Quarterly","No Action - Parity or Competitive Advantage")))</f>
        <v>Monitor &amp; Reassess Quarterly</v>
      </c>
    </row>
    <row r="40" customFormat="false" ht="23.85" hidden="false" customHeight="false" outlineLevel="0" collapsed="false">
      <c r="A40" s="6" t="s">
        <v>113</v>
      </c>
      <c r="B40" s="7" t="s">
        <v>50</v>
      </c>
      <c r="C40" s="7" t="s">
        <v>63</v>
      </c>
      <c r="D40" s="6" t="s">
        <v>52</v>
      </c>
      <c r="E40" s="6" t="s">
        <v>94</v>
      </c>
      <c r="F40" s="7" t="s">
        <v>111</v>
      </c>
      <c r="G40" s="6" t="s">
        <v>58</v>
      </c>
      <c r="H40" s="6" t="s">
        <v>58</v>
      </c>
      <c r="I40" s="8" t="n">
        <f aca="false">IF(G40="Yes",1,IF(G40="Partial",0.5,0))</f>
        <v>0</v>
      </c>
      <c r="J40" s="8" t="n">
        <f aca="false">IF(H40="Yes",1,IF(H40="Partial",0.5,0))</f>
        <v>0</v>
      </c>
      <c r="K40" s="6" t="n">
        <v>3</v>
      </c>
      <c r="L40" s="6" t="n">
        <v>2</v>
      </c>
      <c r="M40" s="6" t="n">
        <v>4.1</v>
      </c>
      <c r="N40" s="6" t="n">
        <v>3.7</v>
      </c>
      <c r="O40" s="6" t="n">
        <v>42000</v>
      </c>
      <c r="P40" s="6" t="n">
        <v>47000</v>
      </c>
      <c r="Q40" s="7" t="s">
        <v>64</v>
      </c>
      <c r="R40" s="6" t="n">
        <v>4</v>
      </c>
      <c r="S40" s="6" t="n">
        <v>4</v>
      </c>
      <c r="T40" s="6" t="n">
        <v>4</v>
      </c>
      <c r="U40" s="6" t="n">
        <v>5</v>
      </c>
      <c r="V40" s="6" t="s">
        <v>58</v>
      </c>
      <c r="W40" s="6" t="n">
        <v>2</v>
      </c>
      <c r="X40" s="6" t="n">
        <v>4</v>
      </c>
      <c r="Y40" s="6" t="n">
        <v>18</v>
      </c>
      <c r="Z40" s="6" t="n">
        <f aca="false">(J40-I40)*K40</f>
        <v>0</v>
      </c>
      <c r="AA40" s="8" t="n">
        <f aca="false">IF(Z40&lt;0,ABS(Z40),0)</f>
        <v>0</v>
      </c>
      <c r="AB40" s="8" t="n">
        <f aca="false">IF(Z40&gt;0,Z40*L40,0)</f>
        <v>0</v>
      </c>
      <c r="AC40" s="8" t="n">
        <f aca="false">O40/P40</f>
        <v>0.893617021276596</v>
      </c>
      <c r="AD40" s="9" t="str">
        <f aca="false">IF(AB40&gt;=15,"High Priority",IF(AB40&gt;=7,"Medium Priority",IF(AB40&gt;0,"Low Priority","Monitor / No Gap")))</f>
        <v>Monitor / No Gap</v>
      </c>
      <c r="AE40" s="10" t="str">
        <f aca="false">IF(AD40="High Priority","Build Immediately - Critical Feature Gap",IF(AD40="Medium Priority","Plan for Next Roadmap Cycle",IF(AD40="Low Priority","Monitor &amp; Reassess Quarterly","No Action - Parity or Competitive Advantage")))</f>
        <v>No Action - Parity or Competitive Advantage</v>
      </c>
    </row>
    <row r="41" customFormat="false" ht="23.85" hidden="false" customHeight="false" outlineLevel="0" collapsed="false">
      <c r="A41" s="6" t="s">
        <v>114</v>
      </c>
      <c r="B41" s="7" t="s">
        <v>50</v>
      </c>
      <c r="C41" s="7" t="s">
        <v>51</v>
      </c>
      <c r="D41" s="6" t="s">
        <v>52</v>
      </c>
      <c r="E41" s="6" t="s">
        <v>115</v>
      </c>
      <c r="F41" s="7" t="s">
        <v>116</v>
      </c>
      <c r="G41" s="6" t="s">
        <v>58</v>
      </c>
      <c r="H41" s="6" t="s">
        <v>55</v>
      </c>
      <c r="I41" s="8" t="n">
        <f aca="false">IF(G41="Yes",1,IF(G41="Partial",0.5,0))</f>
        <v>0</v>
      </c>
      <c r="J41" s="8" t="n">
        <f aca="false">IF(H41="Yes",1,IF(H41="Partial",0.5,0))</f>
        <v>1</v>
      </c>
      <c r="K41" s="6" t="n">
        <v>5</v>
      </c>
      <c r="L41" s="6" t="n">
        <v>4</v>
      </c>
      <c r="M41" s="6" t="n">
        <v>4</v>
      </c>
      <c r="N41" s="6" t="n">
        <v>4.6</v>
      </c>
      <c r="O41" s="6" t="n">
        <v>42000</v>
      </c>
      <c r="P41" s="6" t="n">
        <v>58000</v>
      </c>
      <c r="Q41" s="7" t="s">
        <v>57</v>
      </c>
      <c r="R41" s="6" t="n">
        <v>4</v>
      </c>
      <c r="S41" s="6" t="n">
        <v>4</v>
      </c>
      <c r="T41" s="6" t="n">
        <v>4</v>
      </c>
      <c r="U41" s="6" t="n">
        <v>5</v>
      </c>
      <c r="V41" s="6" t="s">
        <v>58</v>
      </c>
      <c r="W41" s="6" t="n">
        <v>2</v>
      </c>
      <c r="X41" s="6" t="n">
        <v>4</v>
      </c>
      <c r="Y41" s="6" t="n">
        <v>22</v>
      </c>
      <c r="Z41" s="6" t="n">
        <f aca="false">(J41-I41)*K41</f>
        <v>5</v>
      </c>
      <c r="AA41" s="8" t="n">
        <f aca="false">IF(Z41&lt;0,ABS(Z41),0)</f>
        <v>0</v>
      </c>
      <c r="AB41" s="8" t="n">
        <f aca="false">IF(Z41&gt;0,Z41*L41,0)</f>
        <v>20</v>
      </c>
      <c r="AC41" s="8" t="n">
        <f aca="false">O41/P41</f>
        <v>0.724137931034483</v>
      </c>
      <c r="AD41" s="9" t="str">
        <f aca="false">IF(AB41&gt;=15,"High Priority",IF(AB41&gt;=7,"Medium Priority",IF(AB41&gt;0,"Low Priority","Monitor / No Gap")))</f>
        <v>High Priority</v>
      </c>
      <c r="AE41" s="10" t="str">
        <f aca="false">IF(AD41="High Priority","Build Immediately - Critical Feature Gap",IF(AD41="Medium Priority","Plan for Next Roadmap Cycle",IF(AD41="Low Priority","Monitor &amp; Reassess Quarterly","No Action - Parity or Competitive Advantage")))</f>
        <v>Build Immediately - Critical Feature Gap</v>
      </c>
    </row>
    <row r="42" customFormat="false" ht="23.85" hidden="false" customHeight="false" outlineLevel="0" collapsed="false">
      <c r="A42" s="6" t="s">
        <v>117</v>
      </c>
      <c r="B42" s="7" t="s">
        <v>50</v>
      </c>
      <c r="C42" s="7" t="s">
        <v>60</v>
      </c>
      <c r="D42" s="6" t="s">
        <v>52</v>
      </c>
      <c r="E42" s="6" t="s">
        <v>115</v>
      </c>
      <c r="F42" s="7" t="s">
        <v>116</v>
      </c>
      <c r="G42" s="6" t="s">
        <v>58</v>
      </c>
      <c r="H42" s="6" t="s">
        <v>58</v>
      </c>
      <c r="I42" s="8" t="n">
        <f aca="false">IF(G42="Yes",1,IF(G42="Partial",0.5,0))</f>
        <v>0</v>
      </c>
      <c r="J42" s="8" t="n">
        <f aca="false">IF(H42="Yes",1,IF(H42="Partial",0.5,0))</f>
        <v>0</v>
      </c>
      <c r="K42" s="6" t="n">
        <v>5</v>
      </c>
      <c r="L42" s="6" t="n">
        <v>4</v>
      </c>
      <c r="M42" s="6" t="n">
        <v>4.2</v>
      </c>
      <c r="N42" s="6" t="n">
        <v>3.4</v>
      </c>
      <c r="O42" s="6" t="n">
        <v>42000</v>
      </c>
      <c r="P42" s="6" t="n">
        <v>32000</v>
      </c>
      <c r="Q42" s="7" t="s">
        <v>61</v>
      </c>
      <c r="R42" s="6" t="n">
        <v>4</v>
      </c>
      <c r="S42" s="6" t="n">
        <v>4</v>
      </c>
      <c r="T42" s="6" t="n">
        <v>4</v>
      </c>
      <c r="U42" s="6" t="n">
        <v>5</v>
      </c>
      <c r="V42" s="6" t="s">
        <v>58</v>
      </c>
      <c r="W42" s="6" t="n">
        <v>2</v>
      </c>
      <c r="X42" s="6" t="n">
        <v>4</v>
      </c>
      <c r="Y42" s="6" t="n">
        <v>15</v>
      </c>
      <c r="Z42" s="6" t="n">
        <f aca="false">(J42-I42)*K42</f>
        <v>0</v>
      </c>
      <c r="AA42" s="8" t="n">
        <f aca="false">IF(Z42&lt;0,ABS(Z42),0)</f>
        <v>0</v>
      </c>
      <c r="AB42" s="8" t="n">
        <f aca="false">IF(Z42&gt;0,Z42*L42,0)</f>
        <v>0</v>
      </c>
      <c r="AC42" s="8" t="n">
        <f aca="false">O42/P42</f>
        <v>1.3125</v>
      </c>
      <c r="AD42" s="9" t="str">
        <f aca="false">IF(AB42&gt;=15,"High Priority",IF(AB42&gt;=7,"Medium Priority",IF(AB42&gt;0,"Low Priority","Monitor / No Gap")))</f>
        <v>Monitor / No Gap</v>
      </c>
      <c r="AE42" s="10" t="str">
        <f aca="false">IF(AD42="High Priority","Build Immediately - Critical Feature Gap",IF(AD42="Medium Priority","Plan for Next Roadmap Cycle",IF(AD42="Low Priority","Monitor &amp; Reassess Quarterly","No Action - Parity or Competitive Advantage")))</f>
        <v>No Action - Parity or Competitive Advantage</v>
      </c>
    </row>
    <row r="43" customFormat="false" ht="23.85" hidden="false" customHeight="false" outlineLevel="0" collapsed="false">
      <c r="A43" s="6" t="s">
        <v>118</v>
      </c>
      <c r="B43" s="7" t="s">
        <v>50</v>
      </c>
      <c r="C43" s="7" t="s">
        <v>63</v>
      </c>
      <c r="D43" s="6" t="s">
        <v>52</v>
      </c>
      <c r="E43" s="6" t="s">
        <v>115</v>
      </c>
      <c r="F43" s="7" t="s">
        <v>116</v>
      </c>
      <c r="G43" s="6" t="s">
        <v>58</v>
      </c>
      <c r="H43" s="6" t="s">
        <v>56</v>
      </c>
      <c r="I43" s="8" t="n">
        <f aca="false">IF(G43="Yes",1,IF(G43="Partial",0.5,0))</f>
        <v>0</v>
      </c>
      <c r="J43" s="8" t="n">
        <f aca="false">IF(H43="Yes",1,IF(H43="Partial",0.5,0))</f>
        <v>0.5</v>
      </c>
      <c r="K43" s="6" t="n">
        <v>5</v>
      </c>
      <c r="L43" s="6" t="n">
        <v>4</v>
      </c>
      <c r="M43" s="6" t="n">
        <v>4.1</v>
      </c>
      <c r="N43" s="6" t="n">
        <v>3.7</v>
      </c>
      <c r="O43" s="6" t="n">
        <v>42000</v>
      </c>
      <c r="P43" s="6" t="n">
        <v>47000</v>
      </c>
      <c r="Q43" s="7" t="s">
        <v>64</v>
      </c>
      <c r="R43" s="6" t="n">
        <v>4</v>
      </c>
      <c r="S43" s="6" t="n">
        <v>4</v>
      </c>
      <c r="T43" s="6" t="n">
        <v>4</v>
      </c>
      <c r="U43" s="6" t="n">
        <v>5</v>
      </c>
      <c r="V43" s="6" t="s">
        <v>58</v>
      </c>
      <c r="W43" s="6" t="n">
        <v>2</v>
      </c>
      <c r="X43" s="6" t="n">
        <v>4</v>
      </c>
      <c r="Y43" s="6" t="n">
        <v>18</v>
      </c>
      <c r="Z43" s="6" t="n">
        <f aca="false">(J43-I43)*K43</f>
        <v>2.5</v>
      </c>
      <c r="AA43" s="8" t="n">
        <f aca="false">IF(Z43&lt;0,ABS(Z43),0)</f>
        <v>0</v>
      </c>
      <c r="AB43" s="8" t="n">
        <f aca="false">IF(Z43&gt;0,Z43*L43,0)</f>
        <v>10</v>
      </c>
      <c r="AC43" s="8" t="n">
        <f aca="false">O43/P43</f>
        <v>0.893617021276596</v>
      </c>
      <c r="AD43" s="9" t="str">
        <f aca="false">IF(AB43&gt;=15,"High Priority",IF(AB43&gt;=7,"Medium Priority",IF(AB43&gt;0,"Low Priority","Monitor / No Gap")))</f>
        <v>Medium Priority</v>
      </c>
      <c r="AE43" s="10" t="str">
        <f aca="false">IF(AD43="High Priority","Build Immediately - Critical Feature Gap",IF(AD43="Medium Priority","Plan for Next Roadmap Cycle",IF(AD43="Low Priority","Monitor &amp; Reassess Quarterly","No Action - Parity or Competitive Advantage")))</f>
        <v>Plan for Next Roadmap Cycle</v>
      </c>
    </row>
    <row r="44" customFormat="false" ht="23.85" hidden="false" customHeight="false" outlineLevel="0" collapsed="false">
      <c r="A44" s="6" t="s">
        <v>119</v>
      </c>
      <c r="B44" s="7" t="s">
        <v>50</v>
      </c>
      <c r="C44" s="7" t="s">
        <v>51</v>
      </c>
      <c r="D44" s="6" t="s">
        <v>52</v>
      </c>
      <c r="E44" s="6" t="s">
        <v>115</v>
      </c>
      <c r="F44" s="7" t="s">
        <v>120</v>
      </c>
      <c r="G44" s="6" t="s">
        <v>58</v>
      </c>
      <c r="H44" s="6" t="s">
        <v>55</v>
      </c>
      <c r="I44" s="8" t="n">
        <f aca="false">IF(G44="Yes",1,IF(G44="Partial",0.5,0))</f>
        <v>0</v>
      </c>
      <c r="J44" s="8" t="n">
        <f aca="false">IF(H44="Yes",1,IF(H44="Partial",0.5,0))</f>
        <v>1</v>
      </c>
      <c r="K44" s="6" t="n">
        <v>3</v>
      </c>
      <c r="L44" s="6" t="n">
        <v>3</v>
      </c>
      <c r="M44" s="6" t="n">
        <v>4.2</v>
      </c>
      <c r="N44" s="6" t="n">
        <v>4.8</v>
      </c>
      <c r="O44" s="6" t="n">
        <v>42000</v>
      </c>
      <c r="P44" s="6" t="n">
        <v>58000</v>
      </c>
      <c r="Q44" s="7" t="s">
        <v>57</v>
      </c>
      <c r="R44" s="6" t="n">
        <v>4</v>
      </c>
      <c r="S44" s="6" t="n">
        <v>4</v>
      </c>
      <c r="T44" s="6" t="n">
        <v>4</v>
      </c>
      <c r="U44" s="6" t="n">
        <v>5</v>
      </c>
      <c r="V44" s="6" t="s">
        <v>58</v>
      </c>
      <c r="W44" s="6" t="n">
        <v>2</v>
      </c>
      <c r="X44" s="6" t="n">
        <v>4</v>
      </c>
      <c r="Y44" s="6" t="n">
        <v>22</v>
      </c>
      <c r="Z44" s="6" t="n">
        <f aca="false">(J44-I44)*K44</f>
        <v>3</v>
      </c>
      <c r="AA44" s="8" t="n">
        <f aca="false">IF(Z44&lt;0,ABS(Z44),0)</f>
        <v>0</v>
      </c>
      <c r="AB44" s="8" t="n">
        <f aca="false">IF(Z44&gt;0,Z44*L44,0)</f>
        <v>9</v>
      </c>
      <c r="AC44" s="8" t="n">
        <f aca="false">O44/P44</f>
        <v>0.724137931034483</v>
      </c>
      <c r="AD44" s="9" t="str">
        <f aca="false">IF(AB44&gt;=15,"High Priority",IF(AB44&gt;=7,"Medium Priority",IF(AB44&gt;0,"Low Priority","Monitor / No Gap")))</f>
        <v>Medium Priority</v>
      </c>
      <c r="AE44" s="10" t="str">
        <f aca="false">IF(AD44="High Priority","Build Immediately - Critical Feature Gap",IF(AD44="Medium Priority","Plan for Next Roadmap Cycle",IF(AD44="Low Priority","Monitor &amp; Reassess Quarterly","No Action - Parity or Competitive Advantage")))</f>
        <v>Plan for Next Roadmap Cycle</v>
      </c>
    </row>
    <row r="45" customFormat="false" ht="23.85" hidden="false" customHeight="false" outlineLevel="0" collapsed="false">
      <c r="A45" s="6" t="s">
        <v>121</v>
      </c>
      <c r="B45" s="7" t="s">
        <v>50</v>
      </c>
      <c r="C45" s="7" t="s">
        <v>60</v>
      </c>
      <c r="D45" s="6" t="s">
        <v>52</v>
      </c>
      <c r="E45" s="6" t="s">
        <v>115</v>
      </c>
      <c r="F45" s="7" t="s">
        <v>120</v>
      </c>
      <c r="G45" s="6" t="s">
        <v>58</v>
      </c>
      <c r="H45" s="6" t="s">
        <v>58</v>
      </c>
      <c r="I45" s="8" t="n">
        <f aca="false">IF(G45="Yes",1,IF(G45="Partial",0.5,0))</f>
        <v>0</v>
      </c>
      <c r="J45" s="8" t="n">
        <f aca="false">IF(H45="Yes",1,IF(H45="Partial",0.5,0))</f>
        <v>0</v>
      </c>
      <c r="K45" s="6" t="n">
        <v>3</v>
      </c>
      <c r="L45" s="6" t="n">
        <v>3</v>
      </c>
      <c r="M45" s="6" t="n">
        <v>4</v>
      </c>
      <c r="N45" s="6" t="n">
        <v>3.3</v>
      </c>
      <c r="O45" s="6" t="n">
        <v>42000</v>
      </c>
      <c r="P45" s="6" t="n">
        <v>32000</v>
      </c>
      <c r="Q45" s="7" t="s">
        <v>61</v>
      </c>
      <c r="R45" s="6" t="n">
        <v>4</v>
      </c>
      <c r="S45" s="6" t="n">
        <v>4</v>
      </c>
      <c r="T45" s="6" t="n">
        <v>4</v>
      </c>
      <c r="U45" s="6" t="n">
        <v>5</v>
      </c>
      <c r="V45" s="6" t="s">
        <v>58</v>
      </c>
      <c r="W45" s="6" t="n">
        <v>2</v>
      </c>
      <c r="X45" s="6" t="n">
        <v>4</v>
      </c>
      <c r="Y45" s="6" t="n">
        <v>15</v>
      </c>
      <c r="Z45" s="6" t="n">
        <f aca="false">(J45-I45)*K45</f>
        <v>0</v>
      </c>
      <c r="AA45" s="8" t="n">
        <f aca="false">IF(Z45&lt;0,ABS(Z45),0)</f>
        <v>0</v>
      </c>
      <c r="AB45" s="8" t="n">
        <f aca="false">IF(Z45&gt;0,Z45*L45,0)</f>
        <v>0</v>
      </c>
      <c r="AC45" s="8" t="n">
        <f aca="false">O45/P45</f>
        <v>1.3125</v>
      </c>
      <c r="AD45" s="9" t="str">
        <f aca="false">IF(AB45&gt;=15,"High Priority",IF(AB45&gt;=7,"Medium Priority",IF(AB45&gt;0,"Low Priority","Monitor / No Gap")))</f>
        <v>Monitor / No Gap</v>
      </c>
      <c r="AE45" s="10" t="str">
        <f aca="false">IF(AD45="High Priority","Build Immediately - Critical Feature Gap",IF(AD45="Medium Priority","Plan for Next Roadmap Cycle",IF(AD45="Low Priority","Monitor &amp; Reassess Quarterly","No Action - Parity or Competitive Advantage")))</f>
        <v>No Action - Parity or Competitive Advantage</v>
      </c>
    </row>
    <row r="46" customFormat="false" ht="23.85" hidden="false" customHeight="false" outlineLevel="0" collapsed="false">
      <c r="A46" s="6" t="s">
        <v>122</v>
      </c>
      <c r="B46" s="7" t="s">
        <v>50</v>
      </c>
      <c r="C46" s="7" t="s">
        <v>63</v>
      </c>
      <c r="D46" s="6" t="s">
        <v>52</v>
      </c>
      <c r="E46" s="6" t="s">
        <v>115</v>
      </c>
      <c r="F46" s="7" t="s">
        <v>120</v>
      </c>
      <c r="G46" s="6" t="s">
        <v>58</v>
      </c>
      <c r="H46" s="6" t="s">
        <v>58</v>
      </c>
      <c r="I46" s="8" t="n">
        <f aca="false">IF(G46="Yes",1,IF(G46="Partial",0.5,0))</f>
        <v>0</v>
      </c>
      <c r="J46" s="8" t="n">
        <f aca="false">IF(H46="Yes",1,IF(H46="Partial",0.5,0))</f>
        <v>0</v>
      </c>
      <c r="K46" s="6" t="n">
        <v>3</v>
      </c>
      <c r="L46" s="6" t="n">
        <v>3</v>
      </c>
      <c r="M46" s="6" t="n">
        <v>4</v>
      </c>
      <c r="N46" s="6" t="n">
        <v>3.8</v>
      </c>
      <c r="O46" s="6" t="n">
        <v>42000</v>
      </c>
      <c r="P46" s="6" t="n">
        <v>47000</v>
      </c>
      <c r="Q46" s="7" t="s">
        <v>64</v>
      </c>
      <c r="R46" s="6" t="n">
        <v>4</v>
      </c>
      <c r="S46" s="6" t="n">
        <v>4</v>
      </c>
      <c r="T46" s="6" t="n">
        <v>4</v>
      </c>
      <c r="U46" s="6" t="n">
        <v>5</v>
      </c>
      <c r="V46" s="6" t="s">
        <v>58</v>
      </c>
      <c r="W46" s="6" t="n">
        <v>2</v>
      </c>
      <c r="X46" s="6" t="n">
        <v>4</v>
      </c>
      <c r="Y46" s="6" t="n">
        <v>18</v>
      </c>
      <c r="Z46" s="6" t="n">
        <f aca="false">(J46-I46)*K46</f>
        <v>0</v>
      </c>
      <c r="AA46" s="8" t="n">
        <f aca="false">IF(Z46&lt;0,ABS(Z46),0)</f>
        <v>0</v>
      </c>
      <c r="AB46" s="8" t="n">
        <f aca="false">IF(Z46&gt;0,Z46*L46,0)</f>
        <v>0</v>
      </c>
      <c r="AC46" s="8" t="n">
        <f aca="false">O46/P46</f>
        <v>0.893617021276596</v>
      </c>
      <c r="AD46" s="9" t="str">
        <f aca="false">IF(AB46&gt;=15,"High Priority",IF(AB46&gt;=7,"Medium Priority",IF(AB46&gt;0,"Low Priority","Monitor / No Gap")))</f>
        <v>Monitor / No Gap</v>
      </c>
      <c r="AE46" s="10" t="str">
        <f aca="false">IF(AD46="High Priority","Build Immediately - Critical Feature Gap",IF(AD46="Medium Priority","Plan for Next Roadmap Cycle",IF(AD46="Low Priority","Monitor &amp; Reassess Quarterly","No Action - Parity or Competitive Advantage")))</f>
        <v>No Action - Parity or Competitive Advantage</v>
      </c>
    </row>
    <row r="47" customFormat="false" ht="23.85" hidden="false" customHeight="false" outlineLevel="0" collapsed="false">
      <c r="A47" s="6" t="s">
        <v>123</v>
      </c>
      <c r="B47" s="7" t="s">
        <v>50</v>
      </c>
      <c r="C47" s="7" t="s">
        <v>51</v>
      </c>
      <c r="D47" s="6" t="s">
        <v>52</v>
      </c>
      <c r="E47" s="6" t="s">
        <v>115</v>
      </c>
      <c r="F47" s="7" t="s">
        <v>124</v>
      </c>
      <c r="G47" s="6" t="s">
        <v>56</v>
      </c>
      <c r="H47" s="6" t="s">
        <v>55</v>
      </c>
      <c r="I47" s="8" t="n">
        <f aca="false">IF(G47="Yes",1,IF(G47="Partial",0.5,0))</f>
        <v>0.5</v>
      </c>
      <c r="J47" s="8" t="n">
        <f aca="false">IF(H47="Yes",1,IF(H47="Partial",0.5,0))</f>
        <v>1</v>
      </c>
      <c r="K47" s="6" t="n">
        <v>4</v>
      </c>
      <c r="L47" s="6" t="n">
        <v>3</v>
      </c>
      <c r="M47" s="6" t="n">
        <v>4.2</v>
      </c>
      <c r="N47" s="6" t="n">
        <v>4.4</v>
      </c>
      <c r="O47" s="6" t="n">
        <v>42000</v>
      </c>
      <c r="P47" s="6" t="n">
        <v>58000</v>
      </c>
      <c r="Q47" s="7" t="s">
        <v>57</v>
      </c>
      <c r="R47" s="6" t="n">
        <v>4</v>
      </c>
      <c r="S47" s="6" t="n">
        <v>4</v>
      </c>
      <c r="T47" s="6" t="n">
        <v>4</v>
      </c>
      <c r="U47" s="6" t="n">
        <v>5</v>
      </c>
      <c r="V47" s="6" t="s">
        <v>58</v>
      </c>
      <c r="W47" s="6" t="n">
        <v>2</v>
      </c>
      <c r="X47" s="6" t="n">
        <v>4</v>
      </c>
      <c r="Y47" s="6" t="n">
        <v>22</v>
      </c>
      <c r="Z47" s="6" t="n">
        <f aca="false">(J47-I47)*K47</f>
        <v>2</v>
      </c>
      <c r="AA47" s="8" t="n">
        <f aca="false">IF(Z47&lt;0,ABS(Z47),0)</f>
        <v>0</v>
      </c>
      <c r="AB47" s="8" t="n">
        <f aca="false">IF(Z47&gt;0,Z47*L47,0)</f>
        <v>6</v>
      </c>
      <c r="AC47" s="8" t="n">
        <f aca="false">O47/P47</f>
        <v>0.724137931034483</v>
      </c>
      <c r="AD47" s="9" t="str">
        <f aca="false">IF(AB47&gt;=15,"High Priority",IF(AB47&gt;=7,"Medium Priority",IF(AB47&gt;0,"Low Priority","Monitor / No Gap")))</f>
        <v>Low Priority</v>
      </c>
      <c r="AE47" s="10" t="str">
        <f aca="false">IF(AD47="High Priority","Build Immediately - Critical Feature Gap",IF(AD47="Medium Priority","Plan for Next Roadmap Cycle",IF(AD47="Low Priority","Monitor &amp; Reassess Quarterly","No Action - Parity or Competitive Advantage")))</f>
        <v>Monitor &amp; Reassess Quarterly</v>
      </c>
    </row>
    <row r="48" customFormat="false" ht="23.85" hidden="false" customHeight="false" outlineLevel="0" collapsed="false">
      <c r="A48" s="6" t="s">
        <v>125</v>
      </c>
      <c r="B48" s="7" t="s">
        <v>50</v>
      </c>
      <c r="C48" s="7" t="s">
        <v>60</v>
      </c>
      <c r="D48" s="6" t="s">
        <v>52</v>
      </c>
      <c r="E48" s="6" t="s">
        <v>115</v>
      </c>
      <c r="F48" s="7" t="s">
        <v>124</v>
      </c>
      <c r="G48" s="6" t="s">
        <v>56</v>
      </c>
      <c r="H48" s="6" t="s">
        <v>58</v>
      </c>
      <c r="I48" s="8" t="n">
        <f aca="false">IF(G48="Yes",1,IF(G48="Partial",0.5,0))</f>
        <v>0.5</v>
      </c>
      <c r="J48" s="8" t="n">
        <f aca="false">IF(H48="Yes",1,IF(H48="Partial",0.5,0))</f>
        <v>0</v>
      </c>
      <c r="K48" s="6" t="n">
        <v>4</v>
      </c>
      <c r="L48" s="6" t="n">
        <v>3</v>
      </c>
      <c r="M48" s="6" t="n">
        <v>4.1</v>
      </c>
      <c r="N48" s="6" t="n">
        <v>3.3</v>
      </c>
      <c r="O48" s="6" t="n">
        <v>42000</v>
      </c>
      <c r="P48" s="6" t="n">
        <v>32000</v>
      </c>
      <c r="Q48" s="7" t="s">
        <v>61</v>
      </c>
      <c r="R48" s="6" t="n">
        <v>4</v>
      </c>
      <c r="S48" s="6" t="n">
        <v>4</v>
      </c>
      <c r="T48" s="6" t="n">
        <v>4</v>
      </c>
      <c r="U48" s="6" t="n">
        <v>5</v>
      </c>
      <c r="V48" s="6" t="s">
        <v>58</v>
      </c>
      <c r="W48" s="6" t="n">
        <v>2</v>
      </c>
      <c r="X48" s="6" t="n">
        <v>4</v>
      </c>
      <c r="Y48" s="6" t="n">
        <v>15</v>
      </c>
      <c r="Z48" s="6" t="n">
        <f aca="false">(J48-I48)*K48</f>
        <v>-2</v>
      </c>
      <c r="AA48" s="8" t="n">
        <f aca="false">IF(Z48&lt;0,ABS(Z48),0)</f>
        <v>2</v>
      </c>
      <c r="AB48" s="8" t="n">
        <f aca="false">IF(Z48&gt;0,Z48*L48,0)</f>
        <v>0</v>
      </c>
      <c r="AC48" s="8" t="n">
        <f aca="false">O48/P48</f>
        <v>1.3125</v>
      </c>
      <c r="AD48" s="9" t="str">
        <f aca="false">IF(AB48&gt;=15,"High Priority",IF(AB48&gt;=7,"Medium Priority",IF(AB48&gt;0,"Low Priority","Monitor / No Gap")))</f>
        <v>Monitor / No Gap</v>
      </c>
      <c r="AE48" s="10" t="str">
        <f aca="false">IF(AD48="High Priority","Build Immediately - Critical Feature Gap",IF(AD48="Medium Priority","Plan for Next Roadmap Cycle",IF(AD48="Low Priority","Monitor &amp; Reassess Quarterly","No Action - Parity or Competitive Advantage")))</f>
        <v>No Action - Parity or Competitive Advantage</v>
      </c>
    </row>
    <row r="49" customFormat="false" ht="23.85" hidden="false" customHeight="false" outlineLevel="0" collapsed="false">
      <c r="A49" s="6" t="s">
        <v>126</v>
      </c>
      <c r="B49" s="7" t="s">
        <v>50</v>
      </c>
      <c r="C49" s="7" t="s">
        <v>63</v>
      </c>
      <c r="D49" s="6" t="s">
        <v>52</v>
      </c>
      <c r="E49" s="6" t="s">
        <v>115</v>
      </c>
      <c r="F49" s="7" t="s">
        <v>124</v>
      </c>
      <c r="G49" s="6" t="s">
        <v>56</v>
      </c>
      <c r="H49" s="6" t="s">
        <v>56</v>
      </c>
      <c r="I49" s="8" t="n">
        <f aca="false">IF(G49="Yes",1,IF(G49="Partial",0.5,0))</f>
        <v>0.5</v>
      </c>
      <c r="J49" s="8" t="n">
        <f aca="false">IF(H49="Yes",1,IF(H49="Partial",0.5,0))</f>
        <v>0.5</v>
      </c>
      <c r="K49" s="6" t="n">
        <v>4</v>
      </c>
      <c r="L49" s="6" t="n">
        <v>3</v>
      </c>
      <c r="M49" s="6" t="n">
        <v>4.2</v>
      </c>
      <c r="N49" s="6" t="n">
        <v>3.8</v>
      </c>
      <c r="O49" s="6" t="n">
        <v>42000</v>
      </c>
      <c r="P49" s="6" t="n">
        <v>47000</v>
      </c>
      <c r="Q49" s="7" t="s">
        <v>64</v>
      </c>
      <c r="R49" s="6" t="n">
        <v>4</v>
      </c>
      <c r="S49" s="6" t="n">
        <v>4</v>
      </c>
      <c r="T49" s="6" t="n">
        <v>4</v>
      </c>
      <c r="U49" s="6" t="n">
        <v>5</v>
      </c>
      <c r="V49" s="6" t="s">
        <v>58</v>
      </c>
      <c r="W49" s="6" t="n">
        <v>2</v>
      </c>
      <c r="X49" s="6" t="n">
        <v>4</v>
      </c>
      <c r="Y49" s="6" t="n">
        <v>18</v>
      </c>
      <c r="Z49" s="6" t="n">
        <f aca="false">(J49-I49)*K49</f>
        <v>0</v>
      </c>
      <c r="AA49" s="8" t="n">
        <f aca="false">IF(Z49&lt;0,ABS(Z49),0)</f>
        <v>0</v>
      </c>
      <c r="AB49" s="8" t="n">
        <f aca="false">IF(Z49&gt;0,Z49*L49,0)</f>
        <v>0</v>
      </c>
      <c r="AC49" s="8" t="n">
        <f aca="false">O49/P49</f>
        <v>0.893617021276596</v>
      </c>
      <c r="AD49" s="9" t="str">
        <f aca="false">IF(AB49&gt;=15,"High Priority",IF(AB49&gt;=7,"Medium Priority",IF(AB49&gt;0,"Low Priority","Monitor / No Gap")))</f>
        <v>Monitor / No Gap</v>
      </c>
      <c r="AE49" s="10" t="str">
        <f aca="false">IF(AD49="High Priority","Build Immediately - Critical Feature Gap",IF(AD49="Medium Priority","Plan for Next Roadmap Cycle",IF(AD49="Low Priority","Monitor &amp; Reassess Quarterly","No Action - Parity or Competitive Advantage")))</f>
        <v>No Action - Parity or Competitive Advantage</v>
      </c>
    </row>
    <row r="50" customFormat="false" ht="23.85" hidden="false" customHeight="false" outlineLevel="0" collapsed="false">
      <c r="A50" s="6" t="s">
        <v>127</v>
      </c>
      <c r="B50" s="7" t="s">
        <v>50</v>
      </c>
      <c r="C50" s="7" t="s">
        <v>51</v>
      </c>
      <c r="D50" s="6" t="s">
        <v>52</v>
      </c>
      <c r="E50" s="6" t="s">
        <v>115</v>
      </c>
      <c r="F50" s="7" t="s">
        <v>128</v>
      </c>
      <c r="G50" s="6" t="s">
        <v>58</v>
      </c>
      <c r="H50" s="6" t="s">
        <v>55</v>
      </c>
      <c r="I50" s="8" t="n">
        <f aca="false">IF(G50="Yes",1,IF(G50="Partial",0.5,0))</f>
        <v>0</v>
      </c>
      <c r="J50" s="8" t="n">
        <f aca="false">IF(H50="Yes",1,IF(H50="Partial",0.5,0))</f>
        <v>1</v>
      </c>
      <c r="K50" s="6" t="n">
        <v>4</v>
      </c>
      <c r="L50" s="6" t="n">
        <v>4</v>
      </c>
      <c r="M50" s="6" t="n">
        <v>4.1</v>
      </c>
      <c r="N50" s="6" t="n">
        <v>4.5</v>
      </c>
      <c r="O50" s="6" t="n">
        <v>42000</v>
      </c>
      <c r="P50" s="6" t="n">
        <v>58000</v>
      </c>
      <c r="Q50" s="7" t="s">
        <v>57</v>
      </c>
      <c r="R50" s="6" t="n">
        <v>4</v>
      </c>
      <c r="S50" s="6" t="n">
        <v>4</v>
      </c>
      <c r="T50" s="6" t="n">
        <v>4</v>
      </c>
      <c r="U50" s="6" t="n">
        <v>5</v>
      </c>
      <c r="V50" s="6" t="s">
        <v>58</v>
      </c>
      <c r="W50" s="6" t="n">
        <v>2</v>
      </c>
      <c r="X50" s="6" t="n">
        <v>4</v>
      </c>
      <c r="Y50" s="6" t="n">
        <v>22</v>
      </c>
      <c r="Z50" s="6" t="n">
        <f aca="false">(J50-I50)*K50</f>
        <v>4</v>
      </c>
      <c r="AA50" s="8" t="n">
        <f aca="false">IF(Z50&lt;0,ABS(Z50),0)</f>
        <v>0</v>
      </c>
      <c r="AB50" s="8" t="n">
        <f aca="false">IF(Z50&gt;0,Z50*L50,0)</f>
        <v>16</v>
      </c>
      <c r="AC50" s="8" t="n">
        <f aca="false">O50/P50</f>
        <v>0.724137931034483</v>
      </c>
      <c r="AD50" s="9" t="str">
        <f aca="false">IF(AB50&gt;=15,"High Priority",IF(AB50&gt;=7,"Medium Priority",IF(AB50&gt;0,"Low Priority","Monitor / No Gap")))</f>
        <v>High Priority</v>
      </c>
      <c r="AE50" s="10" t="str">
        <f aca="false">IF(AD50="High Priority","Build Immediately - Critical Feature Gap",IF(AD50="Medium Priority","Plan for Next Roadmap Cycle",IF(AD50="Low Priority","Monitor &amp; Reassess Quarterly","No Action - Parity or Competitive Advantage")))</f>
        <v>Build Immediately - Critical Feature Gap</v>
      </c>
    </row>
    <row r="51" customFormat="false" ht="23.85" hidden="false" customHeight="false" outlineLevel="0" collapsed="false">
      <c r="A51" s="6" t="s">
        <v>129</v>
      </c>
      <c r="B51" s="7" t="s">
        <v>50</v>
      </c>
      <c r="C51" s="7" t="s">
        <v>60</v>
      </c>
      <c r="D51" s="6" t="s">
        <v>52</v>
      </c>
      <c r="E51" s="6" t="s">
        <v>115</v>
      </c>
      <c r="F51" s="7" t="s">
        <v>128</v>
      </c>
      <c r="G51" s="6" t="s">
        <v>58</v>
      </c>
      <c r="H51" s="6" t="s">
        <v>58</v>
      </c>
      <c r="I51" s="8" t="n">
        <f aca="false">IF(G51="Yes",1,IF(G51="Partial",0.5,0))</f>
        <v>0</v>
      </c>
      <c r="J51" s="8" t="n">
        <f aca="false">IF(H51="Yes",1,IF(H51="Partial",0.5,0))</f>
        <v>0</v>
      </c>
      <c r="K51" s="6" t="n">
        <v>4</v>
      </c>
      <c r="L51" s="6" t="n">
        <v>4</v>
      </c>
      <c r="M51" s="6" t="n">
        <v>4.1</v>
      </c>
      <c r="N51" s="6" t="n">
        <v>3.3</v>
      </c>
      <c r="O51" s="6" t="n">
        <v>42000</v>
      </c>
      <c r="P51" s="6" t="n">
        <v>32000</v>
      </c>
      <c r="Q51" s="7" t="s">
        <v>61</v>
      </c>
      <c r="R51" s="6" t="n">
        <v>4</v>
      </c>
      <c r="S51" s="6" t="n">
        <v>4</v>
      </c>
      <c r="T51" s="6" t="n">
        <v>4</v>
      </c>
      <c r="U51" s="6" t="n">
        <v>5</v>
      </c>
      <c r="V51" s="6" t="s">
        <v>58</v>
      </c>
      <c r="W51" s="6" t="n">
        <v>2</v>
      </c>
      <c r="X51" s="6" t="n">
        <v>4</v>
      </c>
      <c r="Y51" s="6" t="n">
        <v>15</v>
      </c>
      <c r="Z51" s="6" t="n">
        <f aca="false">(J51-I51)*K51</f>
        <v>0</v>
      </c>
      <c r="AA51" s="8" t="n">
        <f aca="false">IF(Z51&lt;0,ABS(Z51),0)</f>
        <v>0</v>
      </c>
      <c r="AB51" s="8" t="n">
        <f aca="false">IF(Z51&gt;0,Z51*L51,0)</f>
        <v>0</v>
      </c>
      <c r="AC51" s="8" t="n">
        <f aca="false">O51/P51</f>
        <v>1.3125</v>
      </c>
      <c r="AD51" s="9" t="str">
        <f aca="false">IF(AB51&gt;=15,"High Priority",IF(AB51&gt;=7,"Medium Priority",IF(AB51&gt;0,"Low Priority","Monitor / No Gap")))</f>
        <v>Monitor / No Gap</v>
      </c>
      <c r="AE51" s="10" t="str">
        <f aca="false">IF(AD51="High Priority","Build Immediately - Critical Feature Gap",IF(AD51="Medium Priority","Plan for Next Roadmap Cycle",IF(AD51="Low Priority","Monitor &amp; Reassess Quarterly","No Action - Parity or Competitive Advantage")))</f>
        <v>No Action - Parity or Competitive Advantage</v>
      </c>
    </row>
    <row r="52" customFormat="false" ht="23.85" hidden="false" customHeight="false" outlineLevel="0" collapsed="false">
      <c r="A52" s="6" t="s">
        <v>130</v>
      </c>
      <c r="B52" s="7" t="s">
        <v>50</v>
      </c>
      <c r="C52" s="7" t="s">
        <v>63</v>
      </c>
      <c r="D52" s="6" t="s">
        <v>52</v>
      </c>
      <c r="E52" s="6" t="s">
        <v>115</v>
      </c>
      <c r="F52" s="7" t="s">
        <v>128</v>
      </c>
      <c r="G52" s="6" t="s">
        <v>58</v>
      </c>
      <c r="H52" s="6" t="s">
        <v>58</v>
      </c>
      <c r="I52" s="8" t="n">
        <f aca="false">IF(G52="Yes",1,IF(G52="Partial",0.5,0))</f>
        <v>0</v>
      </c>
      <c r="J52" s="8" t="n">
        <f aca="false">IF(H52="Yes",1,IF(H52="Partial",0.5,0))</f>
        <v>0</v>
      </c>
      <c r="K52" s="6" t="n">
        <v>4</v>
      </c>
      <c r="L52" s="6" t="n">
        <v>4</v>
      </c>
      <c r="M52" s="6" t="n">
        <v>4.1</v>
      </c>
      <c r="N52" s="6" t="n">
        <v>3.7</v>
      </c>
      <c r="O52" s="6" t="n">
        <v>42000</v>
      </c>
      <c r="P52" s="6" t="n">
        <v>47000</v>
      </c>
      <c r="Q52" s="7" t="s">
        <v>64</v>
      </c>
      <c r="R52" s="6" t="n">
        <v>4</v>
      </c>
      <c r="S52" s="6" t="n">
        <v>4</v>
      </c>
      <c r="T52" s="6" t="n">
        <v>4</v>
      </c>
      <c r="U52" s="6" t="n">
        <v>5</v>
      </c>
      <c r="V52" s="6" t="s">
        <v>58</v>
      </c>
      <c r="W52" s="6" t="n">
        <v>2</v>
      </c>
      <c r="X52" s="6" t="n">
        <v>4</v>
      </c>
      <c r="Y52" s="6" t="n">
        <v>18</v>
      </c>
      <c r="Z52" s="6" t="n">
        <f aca="false">(J52-I52)*K52</f>
        <v>0</v>
      </c>
      <c r="AA52" s="8" t="n">
        <f aca="false">IF(Z52&lt;0,ABS(Z52),0)</f>
        <v>0</v>
      </c>
      <c r="AB52" s="8" t="n">
        <f aca="false">IF(Z52&gt;0,Z52*L52,0)</f>
        <v>0</v>
      </c>
      <c r="AC52" s="8" t="n">
        <f aca="false">O52/P52</f>
        <v>0.893617021276596</v>
      </c>
      <c r="AD52" s="9" t="str">
        <f aca="false">IF(AB52&gt;=15,"High Priority",IF(AB52&gt;=7,"Medium Priority",IF(AB52&gt;0,"Low Priority","Monitor / No Gap")))</f>
        <v>Monitor / No Gap</v>
      </c>
      <c r="AE52" s="10" t="str">
        <f aca="false">IF(AD52="High Priority","Build Immediately - Critical Feature Gap",IF(AD52="Medium Priority","Plan for Next Roadmap Cycle",IF(AD52="Low Priority","Monitor &amp; Reassess Quarterly","No Action - Parity or Competitive Advantage")))</f>
        <v>No Action - Parity or Competitive Advantage</v>
      </c>
    </row>
    <row r="53" customFormat="false" ht="23.85" hidden="false" customHeight="false" outlineLevel="0" collapsed="false">
      <c r="A53" s="6" t="s">
        <v>131</v>
      </c>
      <c r="B53" s="7" t="s">
        <v>50</v>
      </c>
      <c r="C53" s="7" t="s">
        <v>51</v>
      </c>
      <c r="D53" s="6" t="s">
        <v>52</v>
      </c>
      <c r="E53" s="6" t="s">
        <v>132</v>
      </c>
      <c r="F53" s="7" t="s">
        <v>133</v>
      </c>
      <c r="G53" s="6" t="s">
        <v>55</v>
      </c>
      <c r="H53" s="6" t="s">
        <v>56</v>
      </c>
      <c r="I53" s="8" t="n">
        <f aca="false">IF(G53="Yes",1,IF(G53="Partial",0.5,0))</f>
        <v>1</v>
      </c>
      <c r="J53" s="8" t="n">
        <f aca="false">IF(H53="Yes",1,IF(H53="Partial",0.5,0))</f>
        <v>0.5</v>
      </c>
      <c r="K53" s="6" t="n">
        <v>5</v>
      </c>
      <c r="L53" s="6" t="n">
        <v>4</v>
      </c>
      <c r="M53" s="6" t="n">
        <v>4</v>
      </c>
      <c r="N53" s="6" t="n">
        <v>4</v>
      </c>
      <c r="O53" s="6" t="n">
        <v>42000</v>
      </c>
      <c r="P53" s="6" t="n">
        <v>58000</v>
      </c>
      <c r="Q53" s="7" t="s">
        <v>57</v>
      </c>
      <c r="R53" s="6" t="n">
        <v>4</v>
      </c>
      <c r="S53" s="6" t="n">
        <v>4</v>
      </c>
      <c r="T53" s="6" t="n">
        <v>4</v>
      </c>
      <c r="U53" s="6" t="n">
        <v>5</v>
      </c>
      <c r="V53" s="6" t="s">
        <v>58</v>
      </c>
      <c r="W53" s="6" t="n">
        <v>2</v>
      </c>
      <c r="X53" s="6" t="n">
        <v>4</v>
      </c>
      <c r="Y53" s="6" t="n">
        <v>22</v>
      </c>
      <c r="Z53" s="6" t="n">
        <f aca="false">(J53-I53)*K53</f>
        <v>-2.5</v>
      </c>
      <c r="AA53" s="8" t="n">
        <f aca="false">IF(Z53&lt;0,ABS(Z53),0)</f>
        <v>2.5</v>
      </c>
      <c r="AB53" s="8" t="n">
        <f aca="false">IF(Z53&gt;0,Z53*L53,0)</f>
        <v>0</v>
      </c>
      <c r="AC53" s="8" t="n">
        <f aca="false">O53/P53</f>
        <v>0.724137931034483</v>
      </c>
      <c r="AD53" s="9" t="str">
        <f aca="false">IF(AB53&gt;=15,"High Priority",IF(AB53&gt;=7,"Medium Priority",IF(AB53&gt;0,"Low Priority","Monitor / No Gap")))</f>
        <v>Monitor / No Gap</v>
      </c>
      <c r="AE53" s="10" t="str">
        <f aca="false">IF(AD53="High Priority","Build Immediately - Critical Feature Gap",IF(AD53="Medium Priority","Plan for Next Roadmap Cycle",IF(AD53="Low Priority","Monitor &amp; Reassess Quarterly","No Action - Parity or Competitive Advantage")))</f>
        <v>No Action - Parity or Competitive Advantage</v>
      </c>
    </row>
    <row r="54" customFormat="false" ht="23.85" hidden="false" customHeight="false" outlineLevel="0" collapsed="false">
      <c r="A54" s="6" t="s">
        <v>134</v>
      </c>
      <c r="B54" s="7" t="s">
        <v>50</v>
      </c>
      <c r="C54" s="7" t="s">
        <v>60</v>
      </c>
      <c r="D54" s="6" t="s">
        <v>52</v>
      </c>
      <c r="E54" s="6" t="s">
        <v>132</v>
      </c>
      <c r="F54" s="7" t="s">
        <v>133</v>
      </c>
      <c r="G54" s="6" t="s">
        <v>55</v>
      </c>
      <c r="H54" s="6" t="s">
        <v>55</v>
      </c>
      <c r="I54" s="8" t="n">
        <f aca="false">IF(G54="Yes",1,IF(G54="Partial",0.5,0))</f>
        <v>1</v>
      </c>
      <c r="J54" s="8" t="n">
        <f aca="false">IF(H54="Yes",1,IF(H54="Partial",0.5,0))</f>
        <v>1</v>
      </c>
      <c r="K54" s="6" t="n">
        <v>5</v>
      </c>
      <c r="L54" s="6" t="n">
        <v>4</v>
      </c>
      <c r="M54" s="6" t="n">
        <v>4</v>
      </c>
      <c r="N54" s="6" t="n">
        <v>4.1</v>
      </c>
      <c r="O54" s="6" t="n">
        <v>42000</v>
      </c>
      <c r="P54" s="6" t="n">
        <v>32000</v>
      </c>
      <c r="Q54" s="7" t="s">
        <v>61</v>
      </c>
      <c r="R54" s="6" t="n">
        <v>4</v>
      </c>
      <c r="S54" s="6" t="n">
        <v>4</v>
      </c>
      <c r="T54" s="6" t="n">
        <v>4</v>
      </c>
      <c r="U54" s="6" t="n">
        <v>5</v>
      </c>
      <c r="V54" s="6" t="s">
        <v>58</v>
      </c>
      <c r="W54" s="6" t="n">
        <v>2</v>
      </c>
      <c r="X54" s="6" t="n">
        <v>4</v>
      </c>
      <c r="Y54" s="6" t="n">
        <v>15</v>
      </c>
      <c r="Z54" s="6" t="n">
        <f aca="false">(J54-I54)*K54</f>
        <v>0</v>
      </c>
      <c r="AA54" s="8" t="n">
        <f aca="false">IF(Z54&lt;0,ABS(Z54),0)</f>
        <v>0</v>
      </c>
      <c r="AB54" s="8" t="n">
        <f aca="false">IF(Z54&gt;0,Z54*L54,0)</f>
        <v>0</v>
      </c>
      <c r="AC54" s="8" t="n">
        <f aca="false">O54/P54</f>
        <v>1.3125</v>
      </c>
      <c r="AD54" s="9" t="str">
        <f aca="false">IF(AB54&gt;=15,"High Priority",IF(AB54&gt;=7,"Medium Priority",IF(AB54&gt;0,"Low Priority","Monitor / No Gap")))</f>
        <v>Monitor / No Gap</v>
      </c>
      <c r="AE54" s="10" t="str">
        <f aca="false">IF(AD54="High Priority","Build Immediately - Critical Feature Gap",IF(AD54="Medium Priority","Plan for Next Roadmap Cycle",IF(AD54="Low Priority","Monitor &amp; Reassess Quarterly","No Action - Parity or Competitive Advantage")))</f>
        <v>No Action - Parity or Competitive Advantage</v>
      </c>
    </row>
    <row r="55" customFormat="false" ht="23.85" hidden="false" customHeight="false" outlineLevel="0" collapsed="false">
      <c r="A55" s="6" t="s">
        <v>135</v>
      </c>
      <c r="B55" s="7" t="s">
        <v>50</v>
      </c>
      <c r="C55" s="7" t="s">
        <v>63</v>
      </c>
      <c r="D55" s="6" t="s">
        <v>52</v>
      </c>
      <c r="E55" s="6" t="s">
        <v>132</v>
      </c>
      <c r="F55" s="7" t="s">
        <v>133</v>
      </c>
      <c r="G55" s="6" t="s">
        <v>55</v>
      </c>
      <c r="H55" s="6" t="s">
        <v>55</v>
      </c>
      <c r="I55" s="8" t="n">
        <f aca="false">IF(G55="Yes",1,IF(G55="Partial",0.5,0))</f>
        <v>1</v>
      </c>
      <c r="J55" s="8" t="n">
        <f aca="false">IF(H55="Yes",1,IF(H55="Partial",0.5,0))</f>
        <v>1</v>
      </c>
      <c r="K55" s="6" t="n">
        <v>5</v>
      </c>
      <c r="L55" s="6" t="n">
        <v>4</v>
      </c>
      <c r="M55" s="6" t="n">
        <v>4.1</v>
      </c>
      <c r="N55" s="6" t="n">
        <v>4.1</v>
      </c>
      <c r="O55" s="6" t="n">
        <v>42000</v>
      </c>
      <c r="P55" s="6" t="n">
        <v>47000</v>
      </c>
      <c r="Q55" s="7" t="s">
        <v>64</v>
      </c>
      <c r="R55" s="6" t="n">
        <v>4</v>
      </c>
      <c r="S55" s="6" t="n">
        <v>4</v>
      </c>
      <c r="T55" s="6" t="n">
        <v>4</v>
      </c>
      <c r="U55" s="6" t="n">
        <v>5</v>
      </c>
      <c r="V55" s="6" t="s">
        <v>58</v>
      </c>
      <c r="W55" s="6" t="n">
        <v>2</v>
      </c>
      <c r="X55" s="6" t="n">
        <v>4</v>
      </c>
      <c r="Y55" s="6" t="n">
        <v>18</v>
      </c>
      <c r="Z55" s="6" t="n">
        <f aca="false">(J55-I55)*K55</f>
        <v>0</v>
      </c>
      <c r="AA55" s="8" t="n">
        <f aca="false">IF(Z55&lt;0,ABS(Z55),0)</f>
        <v>0</v>
      </c>
      <c r="AB55" s="8" t="n">
        <f aca="false">IF(Z55&gt;0,Z55*L55,0)</f>
        <v>0</v>
      </c>
      <c r="AC55" s="8" t="n">
        <f aca="false">O55/P55</f>
        <v>0.893617021276596</v>
      </c>
      <c r="AD55" s="9" t="str">
        <f aca="false">IF(AB55&gt;=15,"High Priority",IF(AB55&gt;=7,"Medium Priority",IF(AB55&gt;0,"Low Priority","Monitor / No Gap")))</f>
        <v>Monitor / No Gap</v>
      </c>
      <c r="AE55" s="10" t="str">
        <f aca="false">IF(AD55="High Priority","Build Immediately - Critical Feature Gap",IF(AD55="Medium Priority","Plan for Next Roadmap Cycle",IF(AD55="Low Priority","Monitor &amp; Reassess Quarterly","No Action - Parity or Competitive Advantage")))</f>
        <v>No Action - Parity or Competitive Advantage</v>
      </c>
    </row>
    <row r="56" customFormat="false" ht="23.85" hidden="false" customHeight="false" outlineLevel="0" collapsed="false">
      <c r="A56" s="6" t="s">
        <v>136</v>
      </c>
      <c r="B56" s="7" t="s">
        <v>50</v>
      </c>
      <c r="C56" s="7" t="s">
        <v>51</v>
      </c>
      <c r="D56" s="6" t="s">
        <v>52</v>
      </c>
      <c r="E56" s="6" t="s">
        <v>132</v>
      </c>
      <c r="F56" s="7" t="s">
        <v>137</v>
      </c>
      <c r="G56" s="6" t="s">
        <v>56</v>
      </c>
      <c r="H56" s="6" t="s">
        <v>55</v>
      </c>
      <c r="I56" s="8" t="n">
        <f aca="false">IF(G56="Yes",1,IF(G56="Partial",0.5,0))</f>
        <v>0.5</v>
      </c>
      <c r="J56" s="8" t="n">
        <f aca="false">IF(H56="Yes",1,IF(H56="Partial",0.5,0))</f>
        <v>1</v>
      </c>
      <c r="K56" s="6" t="n">
        <v>4</v>
      </c>
      <c r="L56" s="6" t="n">
        <v>3</v>
      </c>
      <c r="M56" s="6" t="n">
        <v>4.2</v>
      </c>
      <c r="N56" s="6" t="n">
        <v>4.8</v>
      </c>
      <c r="O56" s="6" t="n">
        <v>42000</v>
      </c>
      <c r="P56" s="6" t="n">
        <v>58000</v>
      </c>
      <c r="Q56" s="7" t="s">
        <v>57</v>
      </c>
      <c r="R56" s="6" t="n">
        <v>4</v>
      </c>
      <c r="S56" s="6" t="n">
        <v>4</v>
      </c>
      <c r="T56" s="6" t="n">
        <v>4</v>
      </c>
      <c r="U56" s="6" t="n">
        <v>5</v>
      </c>
      <c r="V56" s="6" t="s">
        <v>58</v>
      </c>
      <c r="W56" s="6" t="n">
        <v>2</v>
      </c>
      <c r="X56" s="6" t="n">
        <v>4</v>
      </c>
      <c r="Y56" s="6" t="n">
        <v>22</v>
      </c>
      <c r="Z56" s="6" t="n">
        <f aca="false">(J56-I56)*K56</f>
        <v>2</v>
      </c>
      <c r="AA56" s="8" t="n">
        <f aca="false">IF(Z56&lt;0,ABS(Z56),0)</f>
        <v>0</v>
      </c>
      <c r="AB56" s="8" t="n">
        <f aca="false">IF(Z56&gt;0,Z56*L56,0)</f>
        <v>6</v>
      </c>
      <c r="AC56" s="8" t="n">
        <f aca="false">O56/P56</f>
        <v>0.724137931034483</v>
      </c>
      <c r="AD56" s="9" t="str">
        <f aca="false">IF(AB56&gt;=15,"High Priority",IF(AB56&gt;=7,"Medium Priority",IF(AB56&gt;0,"Low Priority","Monitor / No Gap")))</f>
        <v>Low Priority</v>
      </c>
      <c r="AE56" s="10" t="str">
        <f aca="false">IF(AD56="High Priority","Build Immediately - Critical Feature Gap",IF(AD56="Medium Priority","Plan for Next Roadmap Cycle",IF(AD56="Low Priority","Monitor &amp; Reassess Quarterly","No Action - Parity or Competitive Advantage")))</f>
        <v>Monitor &amp; Reassess Quarterly</v>
      </c>
    </row>
    <row r="57" customFormat="false" ht="23.85" hidden="false" customHeight="false" outlineLevel="0" collapsed="false">
      <c r="A57" s="6" t="s">
        <v>138</v>
      </c>
      <c r="B57" s="7" t="s">
        <v>50</v>
      </c>
      <c r="C57" s="7" t="s">
        <v>60</v>
      </c>
      <c r="D57" s="6" t="s">
        <v>52</v>
      </c>
      <c r="E57" s="6" t="s">
        <v>132</v>
      </c>
      <c r="F57" s="7" t="s">
        <v>137</v>
      </c>
      <c r="G57" s="6" t="s">
        <v>56</v>
      </c>
      <c r="H57" s="6" t="s">
        <v>55</v>
      </c>
      <c r="I57" s="8" t="n">
        <f aca="false">IF(G57="Yes",1,IF(G57="Partial",0.5,0))</f>
        <v>0.5</v>
      </c>
      <c r="J57" s="8" t="n">
        <f aca="false">IF(H57="Yes",1,IF(H57="Partial",0.5,0))</f>
        <v>1</v>
      </c>
      <c r="K57" s="6" t="n">
        <v>4</v>
      </c>
      <c r="L57" s="6" t="n">
        <v>3</v>
      </c>
      <c r="M57" s="6" t="n">
        <v>4.1</v>
      </c>
      <c r="N57" s="6" t="n">
        <v>4</v>
      </c>
      <c r="O57" s="6" t="n">
        <v>42000</v>
      </c>
      <c r="P57" s="6" t="n">
        <v>32000</v>
      </c>
      <c r="Q57" s="7" t="s">
        <v>61</v>
      </c>
      <c r="R57" s="6" t="n">
        <v>4</v>
      </c>
      <c r="S57" s="6" t="n">
        <v>4</v>
      </c>
      <c r="T57" s="6" t="n">
        <v>4</v>
      </c>
      <c r="U57" s="6" t="n">
        <v>5</v>
      </c>
      <c r="V57" s="6" t="s">
        <v>58</v>
      </c>
      <c r="W57" s="6" t="n">
        <v>2</v>
      </c>
      <c r="X57" s="6" t="n">
        <v>4</v>
      </c>
      <c r="Y57" s="6" t="n">
        <v>15</v>
      </c>
      <c r="Z57" s="6" t="n">
        <f aca="false">(J57-I57)*K57</f>
        <v>2</v>
      </c>
      <c r="AA57" s="8" t="n">
        <f aca="false">IF(Z57&lt;0,ABS(Z57),0)</f>
        <v>0</v>
      </c>
      <c r="AB57" s="8" t="n">
        <f aca="false">IF(Z57&gt;0,Z57*L57,0)</f>
        <v>6</v>
      </c>
      <c r="AC57" s="8" t="n">
        <f aca="false">O57/P57</f>
        <v>1.3125</v>
      </c>
      <c r="AD57" s="9" t="str">
        <f aca="false">IF(AB57&gt;=15,"High Priority",IF(AB57&gt;=7,"Medium Priority",IF(AB57&gt;0,"Low Priority","Monitor / No Gap")))</f>
        <v>Low Priority</v>
      </c>
      <c r="AE57" s="10" t="str">
        <f aca="false">IF(AD57="High Priority","Build Immediately - Critical Feature Gap",IF(AD57="Medium Priority","Plan for Next Roadmap Cycle",IF(AD57="Low Priority","Monitor &amp; Reassess Quarterly","No Action - Parity or Competitive Advantage")))</f>
        <v>Monitor &amp; Reassess Quarterly</v>
      </c>
    </row>
    <row r="58" customFormat="false" ht="23.85" hidden="false" customHeight="false" outlineLevel="0" collapsed="false">
      <c r="A58" s="6" t="s">
        <v>139</v>
      </c>
      <c r="B58" s="7" t="s">
        <v>50</v>
      </c>
      <c r="C58" s="7" t="s">
        <v>63</v>
      </c>
      <c r="D58" s="6" t="s">
        <v>52</v>
      </c>
      <c r="E58" s="6" t="s">
        <v>132</v>
      </c>
      <c r="F58" s="7" t="s">
        <v>137</v>
      </c>
      <c r="G58" s="6" t="s">
        <v>56</v>
      </c>
      <c r="H58" s="6" t="s">
        <v>55</v>
      </c>
      <c r="I58" s="8" t="n">
        <f aca="false">IF(G58="Yes",1,IF(G58="Partial",0.5,0))</f>
        <v>0.5</v>
      </c>
      <c r="J58" s="8" t="n">
        <f aca="false">IF(H58="Yes",1,IF(H58="Partial",0.5,0))</f>
        <v>1</v>
      </c>
      <c r="K58" s="6" t="n">
        <v>4</v>
      </c>
      <c r="L58" s="6" t="n">
        <v>3</v>
      </c>
      <c r="M58" s="6" t="n">
        <v>4.2</v>
      </c>
      <c r="N58" s="6" t="n">
        <v>4.2</v>
      </c>
      <c r="O58" s="6" t="n">
        <v>42000</v>
      </c>
      <c r="P58" s="6" t="n">
        <v>47000</v>
      </c>
      <c r="Q58" s="7" t="s">
        <v>64</v>
      </c>
      <c r="R58" s="6" t="n">
        <v>4</v>
      </c>
      <c r="S58" s="6" t="n">
        <v>4</v>
      </c>
      <c r="T58" s="6" t="n">
        <v>4</v>
      </c>
      <c r="U58" s="6" t="n">
        <v>5</v>
      </c>
      <c r="V58" s="6" t="s">
        <v>58</v>
      </c>
      <c r="W58" s="6" t="n">
        <v>2</v>
      </c>
      <c r="X58" s="6" t="n">
        <v>4</v>
      </c>
      <c r="Y58" s="6" t="n">
        <v>18</v>
      </c>
      <c r="Z58" s="6" t="n">
        <f aca="false">(J58-I58)*K58</f>
        <v>2</v>
      </c>
      <c r="AA58" s="8" t="n">
        <f aca="false">IF(Z58&lt;0,ABS(Z58),0)</f>
        <v>0</v>
      </c>
      <c r="AB58" s="8" t="n">
        <f aca="false">IF(Z58&gt;0,Z58*L58,0)</f>
        <v>6</v>
      </c>
      <c r="AC58" s="8" t="n">
        <f aca="false">O58/P58</f>
        <v>0.893617021276596</v>
      </c>
      <c r="AD58" s="9" t="str">
        <f aca="false">IF(AB58&gt;=15,"High Priority",IF(AB58&gt;=7,"Medium Priority",IF(AB58&gt;0,"Low Priority","Monitor / No Gap")))</f>
        <v>Low Priority</v>
      </c>
      <c r="AE58" s="10" t="str">
        <f aca="false">IF(AD58="High Priority","Build Immediately - Critical Feature Gap",IF(AD58="Medium Priority","Plan for Next Roadmap Cycle",IF(AD58="Low Priority","Monitor &amp; Reassess Quarterly","No Action - Parity or Competitive Advantage")))</f>
        <v>Monitor &amp; Reassess Quarterly</v>
      </c>
    </row>
    <row r="59" customFormat="false" ht="23.85" hidden="false" customHeight="false" outlineLevel="0" collapsed="false">
      <c r="A59" s="6" t="s">
        <v>140</v>
      </c>
      <c r="B59" s="7" t="s">
        <v>50</v>
      </c>
      <c r="C59" s="7" t="s">
        <v>51</v>
      </c>
      <c r="D59" s="6" t="s">
        <v>52</v>
      </c>
      <c r="E59" s="6" t="s">
        <v>132</v>
      </c>
      <c r="F59" s="7" t="s">
        <v>141</v>
      </c>
      <c r="G59" s="6" t="s">
        <v>56</v>
      </c>
      <c r="H59" s="6" t="s">
        <v>56</v>
      </c>
      <c r="I59" s="8" t="n">
        <f aca="false">IF(G59="Yes",1,IF(G59="Partial",0.5,0))</f>
        <v>0.5</v>
      </c>
      <c r="J59" s="8" t="n">
        <f aca="false">IF(H59="Yes",1,IF(H59="Partial",0.5,0))</f>
        <v>0.5</v>
      </c>
      <c r="K59" s="6" t="n">
        <v>3</v>
      </c>
      <c r="L59" s="6" t="n">
        <v>3</v>
      </c>
      <c r="M59" s="6" t="n">
        <v>4.2</v>
      </c>
      <c r="N59" s="6" t="n">
        <v>4.2</v>
      </c>
      <c r="O59" s="6" t="n">
        <v>42000</v>
      </c>
      <c r="P59" s="6" t="n">
        <v>58000</v>
      </c>
      <c r="Q59" s="7" t="s">
        <v>57</v>
      </c>
      <c r="R59" s="6" t="n">
        <v>4</v>
      </c>
      <c r="S59" s="6" t="n">
        <v>4</v>
      </c>
      <c r="T59" s="6" t="n">
        <v>4</v>
      </c>
      <c r="U59" s="6" t="n">
        <v>5</v>
      </c>
      <c r="V59" s="6" t="s">
        <v>58</v>
      </c>
      <c r="W59" s="6" t="n">
        <v>2</v>
      </c>
      <c r="X59" s="6" t="n">
        <v>4</v>
      </c>
      <c r="Y59" s="6" t="n">
        <v>22</v>
      </c>
      <c r="Z59" s="6" t="n">
        <f aca="false">(J59-I59)*K59</f>
        <v>0</v>
      </c>
      <c r="AA59" s="8" t="n">
        <f aca="false">IF(Z59&lt;0,ABS(Z59),0)</f>
        <v>0</v>
      </c>
      <c r="AB59" s="8" t="n">
        <f aca="false">IF(Z59&gt;0,Z59*L59,0)</f>
        <v>0</v>
      </c>
      <c r="AC59" s="8" t="n">
        <f aca="false">O59/P59</f>
        <v>0.724137931034483</v>
      </c>
      <c r="AD59" s="9" t="str">
        <f aca="false">IF(AB59&gt;=15,"High Priority",IF(AB59&gt;=7,"Medium Priority",IF(AB59&gt;0,"Low Priority","Monitor / No Gap")))</f>
        <v>Monitor / No Gap</v>
      </c>
      <c r="AE59" s="10" t="str">
        <f aca="false">IF(AD59="High Priority","Build Immediately - Critical Feature Gap",IF(AD59="Medium Priority","Plan for Next Roadmap Cycle",IF(AD59="Low Priority","Monitor &amp; Reassess Quarterly","No Action - Parity or Competitive Advantage")))</f>
        <v>No Action - Parity or Competitive Advantage</v>
      </c>
    </row>
    <row r="60" customFormat="false" ht="23.85" hidden="false" customHeight="false" outlineLevel="0" collapsed="false">
      <c r="A60" s="6" t="s">
        <v>142</v>
      </c>
      <c r="B60" s="7" t="s">
        <v>50</v>
      </c>
      <c r="C60" s="7" t="s">
        <v>60</v>
      </c>
      <c r="D60" s="6" t="s">
        <v>52</v>
      </c>
      <c r="E60" s="6" t="s">
        <v>132</v>
      </c>
      <c r="F60" s="7" t="s">
        <v>141</v>
      </c>
      <c r="G60" s="6" t="s">
        <v>56</v>
      </c>
      <c r="H60" s="6" t="s">
        <v>58</v>
      </c>
      <c r="I60" s="8" t="n">
        <f aca="false">IF(G60="Yes",1,IF(G60="Partial",0.5,0))</f>
        <v>0.5</v>
      </c>
      <c r="J60" s="8" t="n">
        <f aca="false">IF(H60="Yes",1,IF(H60="Partial",0.5,0))</f>
        <v>0</v>
      </c>
      <c r="K60" s="6" t="n">
        <v>3</v>
      </c>
      <c r="L60" s="6" t="n">
        <v>3</v>
      </c>
      <c r="M60" s="6" t="n">
        <v>4</v>
      </c>
      <c r="N60" s="6" t="n">
        <v>3.3</v>
      </c>
      <c r="O60" s="6" t="n">
        <v>42000</v>
      </c>
      <c r="P60" s="6" t="n">
        <v>32000</v>
      </c>
      <c r="Q60" s="7" t="s">
        <v>61</v>
      </c>
      <c r="R60" s="6" t="n">
        <v>4</v>
      </c>
      <c r="S60" s="6" t="n">
        <v>4</v>
      </c>
      <c r="T60" s="6" t="n">
        <v>4</v>
      </c>
      <c r="U60" s="6" t="n">
        <v>5</v>
      </c>
      <c r="V60" s="6" t="s">
        <v>58</v>
      </c>
      <c r="W60" s="6" t="n">
        <v>2</v>
      </c>
      <c r="X60" s="6" t="n">
        <v>4</v>
      </c>
      <c r="Y60" s="6" t="n">
        <v>15</v>
      </c>
      <c r="Z60" s="6" t="n">
        <f aca="false">(J60-I60)*K60</f>
        <v>-1.5</v>
      </c>
      <c r="AA60" s="8" t="n">
        <f aca="false">IF(Z60&lt;0,ABS(Z60),0)</f>
        <v>1.5</v>
      </c>
      <c r="AB60" s="8" t="n">
        <f aca="false">IF(Z60&gt;0,Z60*L60,0)</f>
        <v>0</v>
      </c>
      <c r="AC60" s="8" t="n">
        <f aca="false">O60/P60</f>
        <v>1.3125</v>
      </c>
      <c r="AD60" s="9" t="str">
        <f aca="false">IF(AB60&gt;=15,"High Priority",IF(AB60&gt;=7,"Medium Priority",IF(AB60&gt;0,"Low Priority","Monitor / No Gap")))</f>
        <v>Monitor / No Gap</v>
      </c>
      <c r="AE60" s="10" t="str">
        <f aca="false">IF(AD60="High Priority","Build Immediately - Critical Feature Gap",IF(AD60="Medium Priority","Plan for Next Roadmap Cycle",IF(AD60="Low Priority","Monitor &amp; Reassess Quarterly","No Action - Parity or Competitive Advantage")))</f>
        <v>No Action - Parity or Competitive Advantage</v>
      </c>
    </row>
    <row r="61" customFormat="false" ht="23.85" hidden="false" customHeight="false" outlineLevel="0" collapsed="false">
      <c r="A61" s="6" t="s">
        <v>143</v>
      </c>
      <c r="B61" s="7" t="s">
        <v>50</v>
      </c>
      <c r="C61" s="7" t="s">
        <v>63</v>
      </c>
      <c r="D61" s="6" t="s">
        <v>52</v>
      </c>
      <c r="E61" s="6" t="s">
        <v>132</v>
      </c>
      <c r="F61" s="7" t="s">
        <v>141</v>
      </c>
      <c r="G61" s="6" t="s">
        <v>56</v>
      </c>
      <c r="H61" s="6" t="s">
        <v>55</v>
      </c>
      <c r="I61" s="8" t="n">
        <f aca="false">IF(G61="Yes",1,IF(G61="Partial",0.5,0))</f>
        <v>0.5</v>
      </c>
      <c r="J61" s="8" t="n">
        <f aca="false">IF(H61="Yes",1,IF(H61="Partial",0.5,0))</f>
        <v>1</v>
      </c>
      <c r="K61" s="6" t="n">
        <v>3</v>
      </c>
      <c r="L61" s="6" t="n">
        <v>3</v>
      </c>
      <c r="M61" s="6" t="n">
        <v>4.1</v>
      </c>
      <c r="N61" s="6" t="n">
        <v>4.3</v>
      </c>
      <c r="O61" s="6" t="n">
        <v>42000</v>
      </c>
      <c r="P61" s="6" t="n">
        <v>47000</v>
      </c>
      <c r="Q61" s="7" t="s">
        <v>64</v>
      </c>
      <c r="R61" s="6" t="n">
        <v>4</v>
      </c>
      <c r="S61" s="6" t="n">
        <v>4</v>
      </c>
      <c r="T61" s="6" t="n">
        <v>4</v>
      </c>
      <c r="U61" s="6" t="n">
        <v>5</v>
      </c>
      <c r="V61" s="6" t="s">
        <v>58</v>
      </c>
      <c r="W61" s="6" t="n">
        <v>2</v>
      </c>
      <c r="X61" s="6" t="n">
        <v>4</v>
      </c>
      <c r="Y61" s="6" t="n">
        <v>18</v>
      </c>
      <c r="Z61" s="6" t="n">
        <f aca="false">(J61-I61)*K61</f>
        <v>1.5</v>
      </c>
      <c r="AA61" s="8" t="n">
        <f aca="false">IF(Z61&lt;0,ABS(Z61),0)</f>
        <v>0</v>
      </c>
      <c r="AB61" s="8" t="n">
        <f aca="false">IF(Z61&gt;0,Z61*L61,0)</f>
        <v>4.5</v>
      </c>
      <c r="AC61" s="8" t="n">
        <f aca="false">O61/P61</f>
        <v>0.893617021276596</v>
      </c>
      <c r="AD61" s="9" t="str">
        <f aca="false">IF(AB61&gt;=15,"High Priority",IF(AB61&gt;=7,"Medium Priority",IF(AB61&gt;0,"Low Priority","Monitor / No Gap")))</f>
        <v>Low Priority</v>
      </c>
      <c r="AE61" s="10" t="str">
        <f aca="false">IF(AD61="High Priority","Build Immediately - Critical Feature Gap",IF(AD61="Medium Priority","Plan for Next Roadmap Cycle",IF(AD61="Low Priority","Monitor &amp; Reassess Quarterly","No Action - Parity or Competitive Advantage")))</f>
        <v>Monitor &amp; Reassess Quarterly</v>
      </c>
    </row>
    <row r="62" customFormat="false" ht="23.85" hidden="false" customHeight="false" outlineLevel="0" collapsed="false">
      <c r="A62" s="6" t="s">
        <v>144</v>
      </c>
      <c r="B62" s="7" t="s">
        <v>50</v>
      </c>
      <c r="C62" s="7" t="s">
        <v>51</v>
      </c>
      <c r="D62" s="6" t="s">
        <v>52</v>
      </c>
      <c r="E62" s="6" t="s">
        <v>132</v>
      </c>
      <c r="F62" s="7" t="s">
        <v>145</v>
      </c>
      <c r="G62" s="6" t="s">
        <v>55</v>
      </c>
      <c r="H62" s="6" t="s">
        <v>58</v>
      </c>
      <c r="I62" s="8" t="n">
        <f aca="false">IF(G62="Yes",1,IF(G62="Partial",0.5,0))</f>
        <v>1</v>
      </c>
      <c r="J62" s="8" t="n">
        <f aca="false">IF(H62="Yes",1,IF(H62="Partial",0.5,0))</f>
        <v>0</v>
      </c>
      <c r="K62" s="6" t="n">
        <v>4</v>
      </c>
      <c r="L62" s="6" t="n">
        <v>4</v>
      </c>
      <c r="M62" s="6" t="n">
        <v>4.2</v>
      </c>
      <c r="N62" s="6" t="n">
        <v>4</v>
      </c>
      <c r="O62" s="6" t="n">
        <v>42000</v>
      </c>
      <c r="P62" s="6" t="n">
        <v>58000</v>
      </c>
      <c r="Q62" s="7" t="s">
        <v>57</v>
      </c>
      <c r="R62" s="6" t="n">
        <v>4</v>
      </c>
      <c r="S62" s="6" t="n">
        <v>4</v>
      </c>
      <c r="T62" s="6" t="n">
        <v>4</v>
      </c>
      <c r="U62" s="6" t="n">
        <v>5</v>
      </c>
      <c r="V62" s="6" t="s">
        <v>58</v>
      </c>
      <c r="W62" s="6" t="n">
        <v>2</v>
      </c>
      <c r="X62" s="6" t="n">
        <v>4</v>
      </c>
      <c r="Y62" s="6" t="n">
        <v>22</v>
      </c>
      <c r="Z62" s="6" t="n">
        <f aca="false">(J62-I62)*K62</f>
        <v>-4</v>
      </c>
      <c r="AA62" s="8" t="n">
        <f aca="false">IF(Z62&lt;0,ABS(Z62),0)</f>
        <v>4</v>
      </c>
      <c r="AB62" s="8" t="n">
        <f aca="false">IF(Z62&gt;0,Z62*L62,0)</f>
        <v>0</v>
      </c>
      <c r="AC62" s="8" t="n">
        <f aca="false">O62/P62</f>
        <v>0.724137931034483</v>
      </c>
      <c r="AD62" s="9" t="str">
        <f aca="false">IF(AB62&gt;=15,"High Priority",IF(AB62&gt;=7,"Medium Priority",IF(AB62&gt;0,"Low Priority","Monitor / No Gap")))</f>
        <v>Monitor / No Gap</v>
      </c>
      <c r="AE62" s="10" t="str">
        <f aca="false">IF(AD62="High Priority","Build Immediately - Critical Feature Gap",IF(AD62="Medium Priority","Plan for Next Roadmap Cycle",IF(AD62="Low Priority","Monitor &amp; Reassess Quarterly","No Action - Parity or Competitive Advantage")))</f>
        <v>No Action - Parity or Competitive Advantage</v>
      </c>
    </row>
    <row r="63" customFormat="false" ht="23.85" hidden="false" customHeight="false" outlineLevel="0" collapsed="false">
      <c r="A63" s="6" t="s">
        <v>146</v>
      </c>
      <c r="B63" s="7" t="s">
        <v>50</v>
      </c>
      <c r="C63" s="7" t="s">
        <v>60</v>
      </c>
      <c r="D63" s="6" t="s">
        <v>52</v>
      </c>
      <c r="E63" s="6" t="s">
        <v>132</v>
      </c>
      <c r="F63" s="7" t="s">
        <v>145</v>
      </c>
      <c r="G63" s="6" t="s">
        <v>55</v>
      </c>
      <c r="H63" s="6" t="s">
        <v>55</v>
      </c>
      <c r="I63" s="8" t="n">
        <f aca="false">IF(G63="Yes",1,IF(G63="Partial",0.5,0))</f>
        <v>1</v>
      </c>
      <c r="J63" s="8" t="n">
        <f aca="false">IF(H63="Yes",1,IF(H63="Partial",0.5,0))</f>
        <v>1</v>
      </c>
      <c r="K63" s="6" t="n">
        <v>4</v>
      </c>
      <c r="L63" s="6" t="n">
        <v>4</v>
      </c>
      <c r="M63" s="6" t="n">
        <v>4.1</v>
      </c>
      <c r="N63" s="6" t="n">
        <v>4.1</v>
      </c>
      <c r="O63" s="6" t="n">
        <v>42000</v>
      </c>
      <c r="P63" s="6" t="n">
        <v>32000</v>
      </c>
      <c r="Q63" s="7" t="s">
        <v>61</v>
      </c>
      <c r="R63" s="6" t="n">
        <v>4</v>
      </c>
      <c r="S63" s="6" t="n">
        <v>4</v>
      </c>
      <c r="T63" s="6" t="n">
        <v>4</v>
      </c>
      <c r="U63" s="6" t="n">
        <v>5</v>
      </c>
      <c r="V63" s="6" t="s">
        <v>58</v>
      </c>
      <c r="W63" s="6" t="n">
        <v>2</v>
      </c>
      <c r="X63" s="6" t="n">
        <v>4</v>
      </c>
      <c r="Y63" s="6" t="n">
        <v>15</v>
      </c>
      <c r="Z63" s="6" t="n">
        <f aca="false">(J63-I63)*K63</f>
        <v>0</v>
      </c>
      <c r="AA63" s="8" t="n">
        <f aca="false">IF(Z63&lt;0,ABS(Z63),0)</f>
        <v>0</v>
      </c>
      <c r="AB63" s="8" t="n">
        <f aca="false">IF(Z63&gt;0,Z63*L63,0)</f>
        <v>0</v>
      </c>
      <c r="AC63" s="8" t="n">
        <f aca="false">O63/P63</f>
        <v>1.3125</v>
      </c>
      <c r="AD63" s="9" t="str">
        <f aca="false">IF(AB63&gt;=15,"High Priority",IF(AB63&gt;=7,"Medium Priority",IF(AB63&gt;0,"Low Priority","Monitor / No Gap")))</f>
        <v>Monitor / No Gap</v>
      </c>
      <c r="AE63" s="10" t="str">
        <f aca="false">IF(AD63="High Priority","Build Immediately - Critical Feature Gap",IF(AD63="Medium Priority","Plan for Next Roadmap Cycle",IF(AD63="Low Priority","Monitor &amp; Reassess Quarterly","No Action - Parity or Competitive Advantage")))</f>
        <v>No Action - Parity or Competitive Advantage</v>
      </c>
    </row>
    <row r="64" customFormat="false" ht="23.85" hidden="false" customHeight="false" outlineLevel="0" collapsed="false">
      <c r="A64" s="6" t="s">
        <v>147</v>
      </c>
      <c r="B64" s="7" t="s">
        <v>50</v>
      </c>
      <c r="C64" s="7" t="s">
        <v>63</v>
      </c>
      <c r="D64" s="6" t="s">
        <v>52</v>
      </c>
      <c r="E64" s="6" t="s">
        <v>132</v>
      </c>
      <c r="F64" s="7" t="s">
        <v>145</v>
      </c>
      <c r="G64" s="6" t="s">
        <v>55</v>
      </c>
      <c r="H64" s="6" t="s">
        <v>56</v>
      </c>
      <c r="I64" s="8" t="n">
        <f aca="false">IF(G64="Yes",1,IF(G64="Partial",0.5,0))</f>
        <v>1</v>
      </c>
      <c r="J64" s="8" t="n">
        <f aca="false">IF(H64="Yes",1,IF(H64="Partial",0.5,0))</f>
        <v>0.5</v>
      </c>
      <c r="K64" s="6" t="n">
        <v>4</v>
      </c>
      <c r="L64" s="6" t="n">
        <v>4</v>
      </c>
      <c r="M64" s="6" t="n">
        <v>4</v>
      </c>
      <c r="N64" s="6" t="n">
        <v>3.8</v>
      </c>
      <c r="O64" s="6" t="n">
        <v>42000</v>
      </c>
      <c r="P64" s="6" t="n">
        <v>47000</v>
      </c>
      <c r="Q64" s="7" t="s">
        <v>64</v>
      </c>
      <c r="R64" s="6" t="n">
        <v>4</v>
      </c>
      <c r="S64" s="6" t="n">
        <v>4</v>
      </c>
      <c r="T64" s="6" t="n">
        <v>4</v>
      </c>
      <c r="U64" s="6" t="n">
        <v>5</v>
      </c>
      <c r="V64" s="6" t="s">
        <v>58</v>
      </c>
      <c r="W64" s="6" t="n">
        <v>2</v>
      </c>
      <c r="X64" s="6" t="n">
        <v>4</v>
      </c>
      <c r="Y64" s="6" t="n">
        <v>18</v>
      </c>
      <c r="Z64" s="6" t="n">
        <f aca="false">(J64-I64)*K64</f>
        <v>-2</v>
      </c>
      <c r="AA64" s="8" t="n">
        <f aca="false">IF(Z64&lt;0,ABS(Z64),0)</f>
        <v>2</v>
      </c>
      <c r="AB64" s="8" t="n">
        <f aca="false">IF(Z64&gt;0,Z64*L64,0)</f>
        <v>0</v>
      </c>
      <c r="AC64" s="8" t="n">
        <f aca="false">O64/P64</f>
        <v>0.893617021276596</v>
      </c>
      <c r="AD64" s="9" t="str">
        <f aca="false">IF(AB64&gt;=15,"High Priority",IF(AB64&gt;=7,"Medium Priority",IF(AB64&gt;0,"Low Priority","Monitor / No Gap")))</f>
        <v>Monitor / No Gap</v>
      </c>
      <c r="AE64" s="10" t="str">
        <f aca="false">IF(AD64="High Priority","Build Immediately - Critical Feature Gap",IF(AD64="Medium Priority","Plan for Next Roadmap Cycle",IF(AD64="Low Priority","Monitor &amp; Reassess Quarterly","No Action - Parity or Competitive Advantage")))</f>
        <v>No Action - Parity or Competitive Advantage</v>
      </c>
    </row>
    <row r="65" customFormat="false" ht="23.85" hidden="false" customHeight="false" outlineLevel="0" collapsed="false">
      <c r="A65" s="6" t="s">
        <v>148</v>
      </c>
      <c r="B65" s="7" t="s">
        <v>50</v>
      </c>
      <c r="C65" s="7" t="s">
        <v>51</v>
      </c>
      <c r="D65" s="6" t="s">
        <v>52</v>
      </c>
      <c r="E65" s="6" t="s">
        <v>149</v>
      </c>
      <c r="F65" s="7" t="s">
        <v>150</v>
      </c>
      <c r="G65" s="6" t="s">
        <v>55</v>
      </c>
      <c r="H65" s="6" t="s">
        <v>55</v>
      </c>
      <c r="I65" s="8" t="n">
        <f aca="false">IF(G65="Yes",1,IF(G65="Partial",0.5,0))</f>
        <v>1</v>
      </c>
      <c r="J65" s="8" t="n">
        <f aca="false">IF(H65="Yes",1,IF(H65="Partial",0.5,0))</f>
        <v>1</v>
      </c>
      <c r="K65" s="6" t="n">
        <v>5</v>
      </c>
      <c r="L65" s="6" t="n">
        <v>5</v>
      </c>
      <c r="M65" s="6" t="n">
        <v>4.1</v>
      </c>
      <c r="N65" s="6" t="n">
        <v>4.6</v>
      </c>
      <c r="O65" s="6" t="n">
        <v>42000</v>
      </c>
      <c r="P65" s="6" t="n">
        <v>58000</v>
      </c>
      <c r="Q65" s="7" t="s">
        <v>57</v>
      </c>
      <c r="R65" s="6" t="n">
        <v>4</v>
      </c>
      <c r="S65" s="6" t="n">
        <v>4</v>
      </c>
      <c r="T65" s="6" t="n">
        <v>4</v>
      </c>
      <c r="U65" s="6" t="n">
        <v>5</v>
      </c>
      <c r="V65" s="6" t="s">
        <v>58</v>
      </c>
      <c r="W65" s="6" t="n">
        <v>2</v>
      </c>
      <c r="X65" s="6" t="n">
        <v>4</v>
      </c>
      <c r="Y65" s="6" t="n">
        <v>22</v>
      </c>
      <c r="Z65" s="6" t="n">
        <f aca="false">(J65-I65)*K65</f>
        <v>0</v>
      </c>
      <c r="AA65" s="8" t="n">
        <f aca="false">IF(Z65&lt;0,ABS(Z65),0)</f>
        <v>0</v>
      </c>
      <c r="AB65" s="8" t="n">
        <f aca="false">IF(Z65&gt;0,Z65*L65,0)</f>
        <v>0</v>
      </c>
      <c r="AC65" s="8" t="n">
        <f aca="false">O65/P65</f>
        <v>0.724137931034483</v>
      </c>
      <c r="AD65" s="9" t="str">
        <f aca="false">IF(AB65&gt;=15,"High Priority",IF(AB65&gt;=7,"Medium Priority",IF(AB65&gt;0,"Low Priority","Monitor / No Gap")))</f>
        <v>Monitor / No Gap</v>
      </c>
      <c r="AE65" s="10" t="str">
        <f aca="false">IF(AD65="High Priority","Build Immediately - Critical Feature Gap",IF(AD65="Medium Priority","Plan for Next Roadmap Cycle",IF(AD65="Low Priority","Monitor &amp; Reassess Quarterly","No Action - Parity or Competitive Advantage")))</f>
        <v>No Action - Parity or Competitive Advantage</v>
      </c>
    </row>
    <row r="66" customFormat="false" ht="23.85" hidden="false" customHeight="false" outlineLevel="0" collapsed="false">
      <c r="A66" s="6" t="s">
        <v>151</v>
      </c>
      <c r="B66" s="7" t="s">
        <v>50</v>
      </c>
      <c r="C66" s="7" t="s">
        <v>60</v>
      </c>
      <c r="D66" s="6" t="s">
        <v>52</v>
      </c>
      <c r="E66" s="6" t="s">
        <v>149</v>
      </c>
      <c r="F66" s="7" t="s">
        <v>150</v>
      </c>
      <c r="G66" s="6" t="s">
        <v>55</v>
      </c>
      <c r="H66" s="6" t="s">
        <v>55</v>
      </c>
      <c r="I66" s="8" t="n">
        <f aca="false">IF(G66="Yes",1,IF(G66="Partial",0.5,0))</f>
        <v>1</v>
      </c>
      <c r="J66" s="8" t="n">
        <f aca="false">IF(H66="Yes",1,IF(H66="Partial",0.5,0))</f>
        <v>1</v>
      </c>
      <c r="K66" s="6" t="n">
        <v>5</v>
      </c>
      <c r="L66" s="6" t="n">
        <v>5</v>
      </c>
      <c r="M66" s="6" t="n">
        <v>4.1</v>
      </c>
      <c r="N66" s="6" t="n">
        <v>4.3</v>
      </c>
      <c r="O66" s="6" t="n">
        <v>42000</v>
      </c>
      <c r="P66" s="6" t="n">
        <v>32000</v>
      </c>
      <c r="Q66" s="7" t="s">
        <v>61</v>
      </c>
      <c r="R66" s="6" t="n">
        <v>4</v>
      </c>
      <c r="S66" s="6" t="n">
        <v>4</v>
      </c>
      <c r="T66" s="6" t="n">
        <v>4</v>
      </c>
      <c r="U66" s="6" t="n">
        <v>5</v>
      </c>
      <c r="V66" s="6" t="s">
        <v>58</v>
      </c>
      <c r="W66" s="6" t="n">
        <v>2</v>
      </c>
      <c r="X66" s="6" t="n">
        <v>4</v>
      </c>
      <c r="Y66" s="6" t="n">
        <v>15</v>
      </c>
      <c r="Z66" s="6" t="n">
        <f aca="false">(J66-I66)*K66</f>
        <v>0</v>
      </c>
      <c r="AA66" s="8" t="n">
        <f aca="false">IF(Z66&lt;0,ABS(Z66),0)</f>
        <v>0</v>
      </c>
      <c r="AB66" s="8" t="n">
        <f aca="false">IF(Z66&gt;0,Z66*L66,0)</f>
        <v>0</v>
      </c>
      <c r="AC66" s="8" t="n">
        <f aca="false">O66/P66</f>
        <v>1.3125</v>
      </c>
      <c r="AD66" s="9" t="str">
        <f aca="false">IF(AB66&gt;=15,"High Priority",IF(AB66&gt;=7,"Medium Priority",IF(AB66&gt;0,"Low Priority","Monitor / No Gap")))</f>
        <v>Monitor / No Gap</v>
      </c>
      <c r="AE66" s="10" t="str">
        <f aca="false">IF(AD66="High Priority","Build Immediately - Critical Feature Gap",IF(AD66="Medium Priority","Plan for Next Roadmap Cycle",IF(AD66="Low Priority","Monitor &amp; Reassess Quarterly","No Action - Parity or Competitive Advantage")))</f>
        <v>No Action - Parity or Competitive Advantage</v>
      </c>
    </row>
    <row r="67" customFormat="false" ht="23.85" hidden="false" customHeight="false" outlineLevel="0" collapsed="false">
      <c r="A67" s="6" t="s">
        <v>152</v>
      </c>
      <c r="B67" s="7" t="s">
        <v>50</v>
      </c>
      <c r="C67" s="7" t="s">
        <v>63</v>
      </c>
      <c r="D67" s="6" t="s">
        <v>52</v>
      </c>
      <c r="E67" s="6" t="s">
        <v>149</v>
      </c>
      <c r="F67" s="7" t="s">
        <v>150</v>
      </c>
      <c r="G67" s="6" t="s">
        <v>55</v>
      </c>
      <c r="H67" s="6" t="s">
        <v>58</v>
      </c>
      <c r="I67" s="8" t="n">
        <f aca="false">IF(G67="Yes",1,IF(G67="Partial",0.5,0))</f>
        <v>1</v>
      </c>
      <c r="J67" s="8" t="n">
        <f aca="false">IF(H67="Yes",1,IF(H67="Partial",0.5,0))</f>
        <v>0</v>
      </c>
      <c r="K67" s="6" t="n">
        <v>5</v>
      </c>
      <c r="L67" s="6" t="n">
        <v>5</v>
      </c>
      <c r="M67" s="6" t="n">
        <v>4</v>
      </c>
      <c r="N67" s="6" t="n">
        <v>3.6</v>
      </c>
      <c r="O67" s="6" t="n">
        <v>42000</v>
      </c>
      <c r="P67" s="6" t="n">
        <v>47000</v>
      </c>
      <c r="Q67" s="7" t="s">
        <v>64</v>
      </c>
      <c r="R67" s="6" t="n">
        <v>4</v>
      </c>
      <c r="S67" s="6" t="n">
        <v>4</v>
      </c>
      <c r="T67" s="6" t="n">
        <v>4</v>
      </c>
      <c r="U67" s="6" t="n">
        <v>5</v>
      </c>
      <c r="V67" s="6" t="s">
        <v>58</v>
      </c>
      <c r="W67" s="6" t="n">
        <v>2</v>
      </c>
      <c r="X67" s="6" t="n">
        <v>4</v>
      </c>
      <c r="Y67" s="6" t="n">
        <v>18</v>
      </c>
      <c r="Z67" s="6" t="n">
        <f aca="false">(J67-I67)*K67</f>
        <v>-5</v>
      </c>
      <c r="AA67" s="8" t="n">
        <f aca="false">IF(Z67&lt;0,ABS(Z67),0)</f>
        <v>5</v>
      </c>
      <c r="AB67" s="8" t="n">
        <f aca="false">IF(Z67&gt;0,Z67*L67,0)</f>
        <v>0</v>
      </c>
      <c r="AC67" s="8" t="n">
        <f aca="false">O67/P67</f>
        <v>0.893617021276596</v>
      </c>
      <c r="AD67" s="9" t="str">
        <f aca="false">IF(AB67&gt;=15,"High Priority",IF(AB67&gt;=7,"Medium Priority",IF(AB67&gt;0,"Low Priority","Monitor / No Gap")))</f>
        <v>Monitor / No Gap</v>
      </c>
      <c r="AE67" s="10" t="str">
        <f aca="false">IF(AD67="High Priority","Build Immediately - Critical Feature Gap",IF(AD67="Medium Priority","Plan for Next Roadmap Cycle",IF(AD67="Low Priority","Monitor &amp; Reassess Quarterly","No Action - Parity or Competitive Advantage")))</f>
        <v>No Action - Parity or Competitive Advantage</v>
      </c>
    </row>
    <row r="68" customFormat="false" ht="23.85" hidden="false" customHeight="false" outlineLevel="0" collapsed="false">
      <c r="A68" s="6" t="s">
        <v>153</v>
      </c>
      <c r="B68" s="7" t="s">
        <v>50</v>
      </c>
      <c r="C68" s="7" t="s">
        <v>51</v>
      </c>
      <c r="D68" s="6" t="s">
        <v>52</v>
      </c>
      <c r="E68" s="6" t="s">
        <v>149</v>
      </c>
      <c r="F68" s="7" t="s">
        <v>154</v>
      </c>
      <c r="G68" s="6" t="s">
        <v>55</v>
      </c>
      <c r="H68" s="6" t="s">
        <v>58</v>
      </c>
      <c r="I68" s="8" t="n">
        <f aca="false">IF(G68="Yes",1,IF(G68="Partial",0.5,0))</f>
        <v>1</v>
      </c>
      <c r="J68" s="8" t="n">
        <f aca="false">IF(H68="Yes",1,IF(H68="Partial",0.5,0))</f>
        <v>0</v>
      </c>
      <c r="K68" s="6" t="n">
        <v>4</v>
      </c>
      <c r="L68" s="6" t="n">
        <v>4</v>
      </c>
      <c r="M68" s="6" t="n">
        <v>4.2</v>
      </c>
      <c r="N68" s="6" t="n">
        <v>4</v>
      </c>
      <c r="O68" s="6" t="n">
        <v>42000</v>
      </c>
      <c r="P68" s="6" t="n">
        <v>58000</v>
      </c>
      <c r="Q68" s="7" t="s">
        <v>57</v>
      </c>
      <c r="R68" s="6" t="n">
        <v>4</v>
      </c>
      <c r="S68" s="6" t="n">
        <v>4</v>
      </c>
      <c r="T68" s="6" t="n">
        <v>4</v>
      </c>
      <c r="U68" s="6" t="n">
        <v>5</v>
      </c>
      <c r="V68" s="6" t="s">
        <v>58</v>
      </c>
      <c r="W68" s="6" t="n">
        <v>2</v>
      </c>
      <c r="X68" s="6" t="n">
        <v>4</v>
      </c>
      <c r="Y68" s="6" t="n">
        <v>22</v>
      </c>
      <c r="Z68" s="6" t="n">
        <f aca="false">(J68-I68)*K68</f>
        <v>-4</v>
      </c>
      <c r="AA68" s="8" t="n">
        <f aca="false">IF(Z68&lt;0,ABS(Z68),0)</f>
        <v>4</v>
      </c>
      <c r="AB68" s="8" t="n">
        <f aca="false">IF(Z68&gt;0,Z68*L68,0)</f>
        <v>0</v>
      </c>
      <c r="AC68" s="8" t="n">
        <f aca="false">O68/P68</f>
        <v>0.724137931034483</v>
      </c>
      <c r="AD68" s="9" t="str">
        <f aca="false">IF(AB68&gt;=15,"High Priority",IF(AB68&gt;=7,"Medium Priority",IF(AB68&gt;0,"Low Priority","Monitor / No Gap")))</f>
        <v>Monitor / No Gap</v>
      </c>
      <c r="AE68" s="10" t="str">
        <f aca="false">IF(AD68="High Priority","Build Immediately - Critical Feature Gap",IF(AD68="Medium Priority","Plan for Next Roadmap Cycle",IF(AD68="Low Priority","Monitor &amp; Reassess Quarterly","No Action - Parity or Competitive Advantage")))</f>
        <v>No Action - Parity or Competitive Advantage</v>
      </c>
    </row>
    <row r="69" customFormat="false" ht="23.85" hidden="false" customHeight="false" outlineLevel="0" collapsed="false">
      <c r="A69" s="6" t="s">
        <v>155</v>
      </c>
      <c r="B69" s="7" t="s">
        <v>50</v>
      </c>
      <c r="C69" s="7" t="s">
        <v>60</v>
      </c>
      <c r="D69" s="6" t="s">
        <v>52</v>
      </c>
      <c r="E69" s="6" t="s">
        <v>149</v>
      </c>
      <c r="F69" s="7" t="s">
        <v>154</v>
      </c>
      <c r="G69" s="6" t="s">
        <v>55</v>
      </c>
      <c r="H69" s="6" t="s">
        <v>58</v>
      </c>
      <c r="I69" s="8" t="n">
        <f aca="false">IF(G69="Yes",1,IF(G69="Partial",0.5,0))</f>
        <v>1</v>
      </c>
      <c r="J69" s="8" t="n">
        <f aca="false">IF(H69="Yes",1,IF(H69="Partial",0.5,0))</f>
        <v>0</v>
      </c>
      <c r="K69" s="6" t="n">
        <v>4</v>
      </c>
      <c r="L69" s="6" t="n">
        <v>4</v>
      </c>
      <c r="M69" s="6" t="n">
        <v>4</v>
      </c>
      <c r="N69" s="6" t="n">
        <v>3.5</v>
      </c>
      <c r="O69" s="6" t="n">
        <v>42000</v>
      </c>
      <c r="P69" s="6" t="n">
        <v>32000</v>
      </c>
      <c r="Q69" s="7" t="s">
        <v>61</v>
      </c>
      <c r="R69" s="6" t="n">
        <v>4</v>
      </c>
      <c r="S69" s="6" t="n">
        <v>4</v>
      </c>
      <c r="T69" s="6" t="n">
        <v>4</v>
      </c>
      <c r="U69" s="6" t="n">
        <v>5</v>
      </c>
      <c r="V69" s="6" t="s">
        <v>58</v>
      </c>
      <c r="W69" s="6" t="n">
        <v>2</v>
      </c>
      <c r="X69" s="6" t="n">
        <v>4</v>
      </c>
      <c r="Y69" s="6" t="n">
        <v>15</v>
      </c>
      <c r="Z69" s="6" t="n">
        <f aca="false">(J69-I69)*K69</f>
        <v>-4</v>
      </c>
      <c r="AA69" s="8" t="n">
        <f aca="false">IF(Z69&lt;0,ABS(Z69),0)</f>
        <v>4</v>
      </c>
      <c r="AB69" s="8" t="n">
        <f aca="false">IF(Z69&gt;0,Z69*L69,0)</f>
        <v>0</v>
      </c>
      <c r="AC69" s="8" t="n">
        <f aca="false">O69/P69</f>
        <v>1.3125</v>
      </c>
      <c r="AD69" s="9" t="str">
        <f aca="false">IF(AB69&gt;=15,"High Priority",IF(AB69&gt;=7,"Medium Priority",IF(AB69&gt;0,"Low Priority","Monitor / No Gap")))</f>
        <v>Monitor / No Gap</v>
      </c>
      <c r="AE69" s="10" t="str">
        <f aca="false">IF(AD69="High Priority","Build Immediately - Critical Feature Gap",IF(AD69="Medium Priority","Plan for Next Roadmap Cycle",IF(AD69="Low Priority","Monitor &amp; Reassess Quarterly","No Action - Parity or Competitive Advantage")))</f>
        <v>No Action - Parity or Competitive Advantage</v>
      </c>
    </row>
    <row r="70" customFormat="false" ht="23.85" hidden="false" customHeight="false" outlineLevel="0" collapsed="false">
      <c r="A70" s="6" t="s">
        <v>156</v>
      </c>
      <c r="B70" s="7" t="s">
        <v>50</v>
      </c>
      <c r="C70" s="7" t="s">
        <v>63</v>
      </c>
      <c r="D70" s="6" t="s">
        <v>52</v>
      </c>
      <c r="E70" s="6" t="s">
        <v>149</v>
      </c>
      <c r="F70" s="7" t="s">
        <v>154</v>
      </c>
      <c r="G70" s="6" t="s">
        <v>55</v>
      </c>
      <c r="H70" s="6" t="s">
        <v>55</v>
      </c>
      <c r="I70" s="8" t="n">
        <f aca="false">IF(G70="Yes",1,IF(G70="Partial",0.5,0))</f>
        <v>1</v>
      </c>
      <c r="J70" s="8" t="n">
        <f aca="false">IF(H70="Yes",1,IF(H70="Partial",0.5,0))</f>
        <v>1</v>
      </c>
      <c r="K70" s="6" t="n">
        <v>4</v>
      </c>
      <c r="L70" s="6" t="n">
        <v>4</v>
      </c>
      <c r="M70" s="6" t="n">
        <v>4.1</v>
      </c>
      <c r="N70" s="6" t="n">
        <v>4.2</v>
      </c>
      <c r="O70" s="6" t="n">
        <v>42000</v>
      </c>
      <c r="P70" s="6" t="n">
        <v>47000</v>
      </c>
      <c r="Q70" s="7" t="s">
        <v>64</v>
      </c>
      <c r="R70" s="6" t="n">
        <v>4</v>
      </c>
      <c r="S70" s="6" t="n">
        <v>4</v>
      </c>
      <c r="T70" s="6" t="n">
        <v>4</v>
      </c>
      <c r="U70" s="6" t="n">
        <v>5</v>
      </c>
      <c r="V70" s="6" t="s">
        <v>58</v>
      </c>
      <c r="W70" s="6" t="n">
        <v>2</v>
      </c>
      <c r="X70" s="6" t="n">
        <v>4</v>
      </c>
      <c r="Y70" s="6" t="n">
        <v>18</v>
      </c>
      <c r="Z70" s="6" t="n">
        <f aca="false">(J70-I70)*K70</f>
        <v>0</v>
      </c>
      <c r="AA70" s="8" t="n">
        <f aca="false">IF(Z70&lt;0,ABS(Z70),0)</f>
        <v>0</v>
      </c>
      <c r="AB70" s="8" t="n">
        <f aca="false">IF(Z70&gt;0,Z70*L70,0)</f>
        <v>0</v>
      </c>
      <c r="AC70" s="8" t="n">
        <f aca="false">O70/P70</f>
        <v>0.893617021276596</v>
      </c>
      <c r="AD70" s="9" t="str">
        <f aca="false">IF(AB70&gt;=15,"High Priority",IF(AB70&gt;=7,"Medium Priority",IF(AB70&gt;0,"Low Priority","Monitor / No Gap")))</f>
        <v>Monitor / No Gap</v>
      </c>
      <c r="AE70" s="10" t="str">
        <f aca="false">IF(AD70="High Priority","Build Immediately - Critical Feature Gap",IF(AD70="Medium Priority","Plan for Next Roadmap Cycle",IF(AD70="Low Priority","Monitor &amp; Reassess Quarterly","No Action - Parity or Competitive Advantage")))</f>
        <v>No Action - Parity or Competitive Advantage</v>
      </c>
    </row>
    <row r="71" customFormat="false" ht="23.85" hidden="false" customHeight="false" outlineLevel="0" collapsed="false">
      <c r="A71" s="6" t="s">
        <v>157</v>
      </c>
      <c r="B71" s="7" t="s">
        <v>50</v>
      </c>
      <c r="C71" s="7" t="s">
        <v>51</v>
      </c>
      <c r="D71" s="6" t="s">
        <v>52</v>
      </c>
      <c r="E71" s="6" t="s">
        <v>149</v>
      </c>
      <c r="F71" s="7" t="s">
        <v>158</v>
      </c>
      <c r="G71" s="6" t="s">
        <v>56</v>
      </c>
      <c r="H71" s="6" t="s">
        <v>55</v>
      </c>
      <c r="I71" s="8" t="n">
        <f aca="false">IF(G71="Yes",1,IF(G71="Partial",0.5,0))</f>
        <v>0.5</v>
      </c>
      <c r="J71" s="8" t="n">
        <f aca="false">IF(H71="Yes",1,IF(H71="Partial",0.5,0))</f>
        <v>1</v>
      </c>
      <c r="K71" s="6" t="n">
        <v>4</v>
      </c>
      <c r="L71" s="6" t="n">
        <v>4</v>
      </c>
      <c r="M71" s="6" t="n">
        <v>4.2</v>
      </c>
      <c r="N71" s="6" t="n">
        <v>4.6</v>
      </c>
      <c r="O71" s="6" t="n">
        <v>42000</v>
      </c>
      <c r="P71" s="6" t="n">
        <v>58000</v>
      </c>
      <c r="Q71" s="7" t="s">
        <v>57</v>
      </c>
      <c r="R71" s="6" t="n">
        <v>4</v>
      </c>
      <c r="S71" s="6" t="n">
        <v>4</v>
      </c>
      <c r="T71" s="6" t="n">
        <v>4</v>
      </c>
      <c r="U71" s="6" t="n">
        <v>5</v>
      </c>
      <c r="V71" s="6" t="s">
        <v>58</v>
      </c>
      <c r="W71" s="6" t="n">
        <v>2</v>
      </c>
      <c r="X71" s="6" t="n">
        <v>4</v>
      </c>
      <c r="Y71" s="6" t="n">
        <v>22</v>
      </c>
      <c r="Z71" s="6" t="n">
        <f aca="false">(J71-I71)*K71</f>
        <v>2</v>
      </c>
      <c r="AA71" s="8" t="n">
        <f aca="false">IF(Z71&lt;0,ABS(Z71),0)</f>
        <v>0</v>
      </c>
      <c r="AB71" s="8" t="n">
        <f aca="false">IF(Z71&gt;0,Z71*L71,0)</f>
        <v>8</v>
      </c>
      <c r="AC71" s="8" t="n">
        <f aca="false">O71/P71</f>
        <v>0.724137931034483</v>
      </c>
      <c r="AD71" s="9" t="str">
        <f aca="false">IF(AB71&gt;=15,"High Priority",IF(AB71&gt;=7,"Medium Priority",IF(AB71&gt;0,"Low Priority","Monitor / No Gap")))</f>
        <v>Medium Priority</v>
      </c>
      <c r="AE71" s="10" t="str">
        <f aca="false">IF(AD71="High Priority","Build Immediately - Critical Feature Gap",IF(AD71="Medium Priority","Plan for Next Roadmap Cycle",IF(AD71="Low Priority","Monitor &amp; Reassess Quarterly","No Action - Parity or Competitive Advantage")))</f>
        <v>Plan for Next Roadmap Cycle</v>
      </c>
    </row>
    <row r="72" customFormat="false" ht="23.85" hidden="false" customHeight="false" outlineLevel="0" collapsed="false">
      <c r="A72" s="6" t="s">
        <v>159</v>
      </c>
      <c r="B72" s="7" t="s">
        <v>50</v>
      </c>
      <c r="C72" s="7" t="s">
        <v>60</v>
      </c>
      <c r="D72" s="6" t="s">
        <v>52</v>
      </c>
      <c r="E72" s="6" t="s">
        <v>149</v>
      </c>
      <c r="F72" s="7" t="s">
        <v>158</v>
      </c>
      <c r="G72" s="6" t="s">
        <v>56</v>
      </c>
      <c r="H72" s="6" t="s">
        <v>55</v>
      </c>
      <c r="I72" s="8" t="n">
        <f aca="false">IF(G72="Yes",1,IF(G72="Partial",0.5,0))</f>
        <v>0.5</v>
      </c>
      <c r="J72" s="8" t="n">
        <f aca="false">IF(H72="Yes",1,IF(H72="Partial",0.5,0))</f>
        <v>1</v>
      </c>
      <c r="K72" s="6" t="n">
        <v>4</v>
      </c>
      <c r="L72" s="6" t="n">
        <v>4</v>
      </c>
      <c r="M72" s="6" t="n">
        <v>4.1</v>
      </c>
      <c r="N72" s="6" t="n">
        <v>4.2</v>
      </c>
      <c r="O72" s="6" t="n">
        <v>42000</v>
      </c>
      <c r="P72" s="6" t="n">
        <v>32000</v>
      </c>
      <c r="Q72" s="7" t="s">
        <v>61</v>
      </c>
      <c r="R72" s="6" t="n">
        <v>4</v>
      </c>
      <c r="S72" s="6" t="n">
        <v>4</v>
      </c>
      <c r="T72" s="6" t="n">
        <v>4</v>
      </c>
      <c r="U72" s="6" t="n">
        <v>5</v>
      </c>
      <c r="V72" s="6" t="s">
        <v>58</v>
      </c>
      <c r="W72" s="6" t="n">
        <v>2</v>
      </c>
      <c r="X72" s="6" t="n">
        <v>4</v>
      </c>
      <c r="Y72" s="6" t="n">
        <v>15</v>
      </c>
      <c r="Z72" s="6" t="n">
        <f aca="false">(J72-I72)*K72</f>
        <v>2</v>
      </c>
      <c r="AA72" s="8" t="n">
        <f aca="false">IF(Z72&lt;0,ABS(Z72),0)</f>
        <v>0</v>
      </c>
      <c r="AB72" s="8" t="n">
        <f aca="false">IF(Z72&gt;0,Z72*L72,0)</f>
        <v>8</v>
      </c>
      <c r="AC72" s="8" t="n">
        <f aca="false">O72/P72</f>
        <v>1.3125</v>
      </c>
      <c r="AD72" s="9" t="str">
        <f aca="false">IF(AB72&gt;=15,"High Priority",IF(AB72&gt;=7,"Medium Priority",IF(AB72&gt;0,"Low Priority","Monitor / No Gap")))</f>
        <v>Medium Priority</v>
      </c>
      <c r="AE72" s="10" t="str">
        <f aca="false">IF(AD72="High Priority","Build Immediately - Critical Feature Gap",IF(AD72="Medium Priority","Plan for Next Roadmap Cycle",IF(AD72="Low Priority","Monitor &amp; Reassess Quarterly","No Action - Parity or Competitive Advantage")))</f>
        <v>Plan for Next Roadmap Cycle</v>
      </c>
    </row>
    <row r="73" customFormat="false" ht="23.85" hidden="false" customHeight="false" outlineLevel="0" collapsed="false">
      <c r="A73" s="6" t="s">
        <v>160</v>
      </c>
      <c r="B73" s="7" t="s">
        <v>50</v>
      </c>
      <c r="C73" s="7" t="s">
        <v>63</v>
      </c>
      <c r="D73" s="6" t="s">
        <v>52</v>
      </c>
      <c r="E73" s="6" t="s">
        <v>149</v>
      </c>
      <c r="F73" s="7" t="s">
        <v>158</v>
      </c>
      <c r="G73" s="6" t="s">
        <v>56</v>
      </c>
      <c r="H73" s="6" t="s">
        <v>55</v>
      </c>
      <c r="I73" s="8" t="n">
        <f aca="false">IF(G73="Yes",1,IF(G73="Partial",0.5,0))</f>
        <v>0.5</v>
      </c>
      <c r="J73" s="8" t="n">
        <f aca="false">IF(H73="Yes",1,IF(H73="Partial",0.5,0))</f>
        <v>1</v>
      </c>
      <c r="K73" s="6" t="n">
        <v>4</v>
      </c>
      <c r="L73" s="6" t="n">
        <v>4</v>
      </c>
      <c r="M73" s="6" t="n">
        <v>4.2</v>
      </c>
      <c r="N73" s="6" t="n">
        <v>4.5</v>
      </c>
      <c r="O73" s="6" t="n">
        <v>42000</v>
      </c>
      <c r="P73" s="6" t="n">
        <v>47000</v>
      </c>
      <c r="Q73" s="7" t="s">
        <v>64</v>
      </c>
      <c r="R73" s="6" t="n">
        <v>4</v>
      </c>
      <c r="S73" s="6" t="n">
        <v>4</v>
      </c>
      <c r="T73" s="6" t="n">
        <v>4</v>
      </c>
      <c r="U73" s="6" t="n">
        <v>5</v>
      </c>
      <c r="V73" s="6" t="s">
        <v>58</v>
      </c>
      <c r="W73" s="6" t="n">
        <v>2</v>
      </c>
      <c r="X73" s="6" t="n">
        <v>4</v>
      </c>
      <c r="Y73" s="6" t="n">
        <v>18</v>
      </c>
      <c r="Z73" s="6" t="n">
        <f aca="false">(J73-I73)*K73</f>
        <v>2</v>
      </c>
      <c r="AA73" s="8" t="n">
        <f aca="false">IF(Z73&lt;0,ABS(Z73),0)</f>
        <v>0</v>
      </c>
      <c r="AB73" s="8" t="n">
        <f aca="false">IF(Z73&gt;0,Z73*L73,0)</f>
        <v>8</v>
      </c>
      <c r="AC73" s="8" t="n">
        <f aca="false">O73/P73</f>
        <v>0.893617021276596</v>
      </c>
      <c r="AD73" s="9" t="str">
        <f aca="false">IF(AB73&gt;=15,"High Priority",IF(AB73&gt;=7,"Medium Priority",IF(AB73&gt;0,"Low Priority","Monitor / No Gap")))</f>
        <v>Medium Priority</v>
      </c>
      <c r="AE73" s="10" t="str">
        <f aca="false">IF(AD73="High Priority","Build Immediately - Critical Feature Gap",IF(AD73="Medium Priority","Plan for Next Roadmap Cycle",IF(AD73="Low Priority","Monitor &amp; Reassess Quarterly","No Action - Parity or Competitive Advantage")))</f>
        <v>Plan for Next Roadmap Cycle</v>
      </c>
    </row>
    <row r="74" customFormat="false" ht="23.85" hidden="false" customHeight="false" outlineLevel="0" collapsed="false">
      <c r="A74" s="6" t="s">
        <v>161</v>
      </c>
      <c r="B74" s="7" t="s">
        <v>50</v>
      </c>
      <c r="C74" s="7" t="s">
        <v>51</v>
      </c>
      <c r="D74" s="6" t="s">
        <v>52</v>
      </c>
      <c r="E74" s="6" t="s">
        <v>162</v>
      </c>
      <c r="F74" s="7" t="s">
        <v>163</v>
      </c>
      <c r="G74" s="6" t="s">
        <v>56</v>
      </c>
      <c r="H74" s="6" t="s">
        <v>56</v>
      </c>
      <c r="I74" s="8" t="n">
        <f aca="false">IF(G74="Yes",1,IF(G74="Partial",0.5,0))</f>
        <v>0.5</v>
      </c>
      <c r="J74" s="8" t="n">
        <f aca="false">IF(H74="Yes",1,IF(H74="Partial",0.5,0))</f>
        <v>0.5</v>
      </c>
      <c r="K74" s="6" t="n">
        <v>4</v>
      </c>
      <c r="L74" s="6" t="n">
        <v>4</v>
      </c>
      <c r="M74" s="6" t="n">
        <v>4</v>
      </c>
      <c r="N74" s="6" t="n">
        <v>4.3</v>
      </c>
      <c r="O74" s="6" t="n">
        <v>42000</v>
      </c>
      <c r="P74" s="6" t="n">
        <v>58000</v>
      </c>
      <c r="Q74" s="7" t="s">
        <v>57</v>
      </c>
      <c r="R74" s="6" t="n">
        <v>4</v>
      </c>
      <c r="S74" s="6" t="n">
        <v>4</v>
      </c>
      <c r="T74" s="6" t="n">
        <v>4</v>
      </c>
      <c r="U74" s="6" t="n">
        <v>5</v>
      </c>
      <c r="V74" s="6" t="s">
        <v>58</v>
      </c>
      <c r="W74" s="6" t="n">
        <v>2</v>
      </c>
      <c r="X74" s="6" t="n">
        <v>4</v>
      </c>
      <c r="Y74" s="6" t="n">
        <v>22</v>
      </c>
      <c r="Z74" s="6" t="n">
        <f aca="false">(J74-I74)*K74</f>
        <v>0</v>
      </c>
      <c r="AA74" s="8" t="n">
        <f aca="false">IF(Z74&lt;0,ABS(Z74),0)</f>
        <v>0</v>
      </c>
      <c r="AB74" s="8" t="n">
        <f aca="false">IF(Z74&gt;0,Z74*L74,0)</f>
        <v>0</v>
      </c>
      <c r="AC74" s="8" t="n">
        <f aca="false">O74/P74</f>
        <v>0.724137931034483</v>
      </c>
      <c r="AD74" s="9" t="str">
        <f aca="false">IF(AB74&gt;=15,"High Priority",IF(AB74&gt;=7,"Medium Priority",IF(AB74&gt;0,"Low Priority","Monitor / No Gap")))</f>
        <v>Monitor / No Gap</v>
      </c>
      <c r="AE74" s="10" t="str">
        <f aca="false">IF(AD74="High Priority","Build Immediately - Critical Feature Gap",IF(AD74="Medium Priority","Plan for Next Roadmap Cycle",IF(AD74="Low Priority","Monitor &amp; Reassess Quarterly","No Action - Parity or Competitive Advantage")))</f>
        <v>No Action - Parity or Competitive Advantage</v>
      </c>
    </row>
    <row r="75" customFormat="false" ht="23.85" hidden="false" customHeight="false" outlineLevel="0" collapsed="false">
      <c r="A75" s="6" t="s">
        <v>164</v>
      </c>
      <c r="B75" s="7" t="s">
        <v>50</v>
      </c>
      <c r="C75" s="7" t="s">
        <v>60</v>
      </c>
      <c r="D75" s="6" t="s">
        <v>52</v>
      </c>
      <c r="E75" s="6" t="s">
        <v>162</v>
      </c>
      <c r="F75" s="7" t="s">
        <v>163</v>
      </c>
      <c r="G75" s="6" t="s">
        <v>56</v>
      </c>
      <c r="H75" s="6" t="s">
        <v>55</v>
      </c>
      <c r="I75" s="8" t="n">
        <f aca="false">IF(G75="Yes",1,IF(G75="Partial",0.5,0))</f>
        <v>0.5</v>
      </c>
      <c r="J75" s="8" t="n">
        <f aca="false">IF(H75="Yes",1,IF(H75="Partial",0.5,0))</f>
        <v>1</v>
      </c>
      <c r="K75" s="6" t="n">
        <v>4</v>
      </c>
      <c r="L75" s="6" t="n">
        <v>4</v>
      </c>
      <c r="M75" s="6" t="n">
        <v>4.1</v>
      </c>
      <c r="N75" s="6" t="n">
        <v>4.3</v>
      </c>
      <c r="O75" s="6" t="n">
        <v>42000</v>
      </c>
      <c r="P75" s="6" t="n">
        <v>32000</v>
      </c>
      <c r="Q75" s="7" t="s">
        <v>61</v>
      </c>
      <c r="R75" s="6" t="n">
        <v>4</v>
      </c>
      <c r="S75" s="6" t="n">
        <v>4</v>
      </c>
      <c r="T75" s="6" t="n">
        <v>4</v>
      </c>
      <c r="U75" s="6" t="n">
        <v>5</v>
      </c>
      <c r="V75" s="6" t="s">
        <v>58</v>
      </c>
      <c r="W75" s="6" t="n">
        <v>2</v>
      </c>
      <c r="X75" s="6" t="n">
        <v>4</v>
      </c>
      <c r="Y75" s="6" t="n">
        <v>15</v>
      </c>
      <c r="Z75" s="6" t="n">
        <f aca="false">(J75-I75)*K75</f>
        <v>2</v>
      </c>
      <c r="AA75" s="8" t="n">
        <f aca="false">IF(Z75&lt;0,ABS(Z75),0)</f>
        <v>0</v>
      </c>
      <c r="AB75" s="8" t="n">
        <f aca="false">IF(Z75&gt;0,Z75*L75,0)</f>
        <v>8</v>
      </c>
      <c r="AC75" s="8" t="n">
        <f aca="false">O75/P75</f>
        <v>1.3125</v>
      </c>
      <c r="AD75" s="9" t="str">
        <f aca="false">IF(AB75&gt;=15,"High Priority",IF(AB75&gt;=7,"Medium Priority",IF(AB75&gt;0,"Low Priority","Monitor / No Gap")))</f>
        <v>Medium Priority</v>
      </c>
      <c r="AE75" s="10" t="str">
        <f aca="false">IF(AD75="High Priority","Build Immediately - Critical Feature Gap",IF(AD75="Medium Priority","Plan for Next Roadmap Cycle",IF(AD75="Low Priority","Monitor &amp; Reassess Quarterly","No Action - Parity or Competitive Advantage")))</f>
        <v>Plan for Next Roadmap Cycle</v>
      </c>
    </row>
    <row r="76" customFormat="false" ht="23.85" hidden="false" customHeight="false" outlineLevel="0" collapsed="false">
      <c r="A76" s="6" t="s">
        <v>165</v>
      </c>
      <c r="B76" s="7" t="s">
        <v>50</v>
      </c>
      <c r="C76" s="7" t="s">
        <v>63</v>
      </c>
      <c r="D76" s="6" t="s">
        <v>52</v>
      </c>
      <c r="E76" s="6" t="s">
        <v>162</v>
      </c>
      <c r="F76" s="7" t="s">
        <v>163</v>
      </c>
      <c r="G76" s="6" t="s">
        <v>56</v>
      </c>
      <c r="H76" s="6" t="s">
        <v>55</v>
      </c>
      <c r="I76" s="8" t="n">
        <f aca="false">IF(G76="Yes",1,IF(G76="Partial",0.5,0))</f>
        <v>0.5</v>
      </c>
      <c r="J76" s="8" t="n">
        <f aca="false">IF(H76="Yes",1,IF(H76="Partial",0.5,0))</f>
        <v>1</v>
      </c>
      <c r="K76" s="6" t="n">
        <v>4</v>
      </c>
      <c r="L76" s="6" t="n">
        <v>4</v>
      </c>
      <c r="M76" s="6" t="n">
        <v>4</v>
      </c>
      <c r="N76" s="6" t="n">
        <v>4.4</v>
      </c>
      <c r="O76" s="6" t="n">
        <v>42000</v>
      </c>
      <c r="P76" s="6" t="n">
        <v>47000</v>
      </c>
      <c r="Q76" s="7" t="s">
        <v>64</v>
      </c>
      <c r="R76" s="6" t="n">
        <v>4</v>
      </c>
      <c r="S76" s="6" t="n">
        <v>4</v>
      </c>
      <c r="T76" s="6" t="n">
        <v>4</v>
      </c>
      <c r="U76" s="6" t="n">
        <v>5</v>
      </c>
      <c r="V76" s="6" t="s">
        <v>58</v>
      </c>
      <c r="W76" s="6" t="n">
        <v>2</v>
      </c>
      <c r="X76" s="6" t="n">
        <v>4</v>
      </c>
      <c r="Y76" s="6" t="n">
        <v>18</v>
      </c>
      <c r="Z76" s="6" t="n">
        <f aca="false">(J76-I76)*K76</f>
        <v>2</v>
      </c>
      <c r="AA76" s="8" t="n">
        <f aca="false">IF(Z76&lt;0,ABS(Z76),0)</f>
        <v>0</v>
      </c>
      <c r="AB76" s="8" t="n">
        <f aca="false">IF(Z76&gt;0,Z76*L76,0)</f>
        <v>8</v>
      </c>
      <c r="AC76" s="8" t="n">
        <f aca="false">O76/P76</f>
        <v>0.893617021276596</v>
      </c>
      <c r="AD76" s="9" t="str">
        <f aca="false">IF(AB76&gt;=15,"High Priority",IF(AB76&gt;=7,"Medium Priority",IF(AB76&gt;0,"Low Priority","Monitor / No Gap")))</f>
        <v>Medium Priority</v>
      </c>
      <c r="AE76" s="10" t="str">
        <f aca="false">IF(AD76="High Priority","Build Immediately - Critical Feature Gap",IF(AD76="Medium Priority","Plan for Next Roadmap Cycle",IF(AD76="Low Priority","Monitor &amp; Reassess Quarterly","No Action - Parity or Competitive Advantage")))</f>
        <v>Plan for Next Roadmap Cycle</v>
      </c>
    </row>
    <row r="77" customFormat="false" ht="23.85" hidden="false" customHeight="false" outlineLevel="0" collapsed="false">
      <c r="A77" s="6" t="s">
        <v>166</v>
      </c>
      <c r="B77" s="7" t="s">
        <v>50</v>
      </c>
      <c r="C77" s="7" t="s">
        <v>51</v>
      </c>
      <c r="D77" s="6" t="s">
        <v>52</v>
      </c>
      <c r="E77" s="6" t="s">
        <v>162</v>
      </c>
      <c r="F77" s="7" t="s">
        <v>167</v>
      </c>
      <c r="G77" s="6" t="s">
        <v>55</v>
      </c>
      <c r="H77" s="6" t="s">
        <v>56</v>
      </c>
      <c r="I77" s="8" t="n">
        <f aca="false">IF(G77="Yes",1,IF(G77="Partial",0.5,0))</f>
        <v>1</v>
      </c>
      <c r="J77" s="8" t="n">
        <f aca="false">IF(H77="Yes",1,IF(H77="Partial",0.5,0))</f>
        <v>0.5</v>
      </c>
      <c r="K77" s="6" t="n">
        <v>5</v>
      </c>
      <c r="L77" s="6" t="n">
        <v>5</v>
      </c>
      <c r="M77" s="6" t="n">
        <v>4.2</v>
      </c>
      <c r="N77" s="6" t="n">
        <v>4.2</v>
      </c>
      <c r="O77" s="6" t="n">
        <v>42000</v>
      </c>
      <c r="P77" s="6" t="n">
        <v>58000</v>
      </c>
      <c r="Q77" s="7" t="s">
        <v>57</v>
      </c>
      <c r="R77" s="6" t="n">
        <v>4</v>
      </c>
      <c r="S77" s="6" t="n">
        <v>4</v>
      </c>
      <c r="T77" s="6" t="n">
        <v>4</v>
      </c>
      <c r="U77" s="6" t="n">
        <v>5</v>
      </c>
      <c r="V77" s="6" t="s">
        <v>58</v>
      </c>
      <c r="W77" s="6" t="n">
        <v>2</v>
      </c>
      <c r="X77" s="6" t="n">
        <v>4</v>
      </c>
      <c r="Y77" s="6" t="n">
        <v>22</v>
      </c>
      <c r="Z77" s="6" t="n">
        <f aca="false">(J77-I77)*K77</f>
        <v>-2.5</v>
      </c>
      <c r="AA77" s="8" t="n">
        <f aca="false">IF(Z77&lt;0,ABS(Z77),0)</f>
        <v>2.5</v>
      </c>
      <c r="AB77" s="8" t="n">
        <f aca="false">IF(Z77&gt;0,Z77*L77,0)</f>
        <v>0</v>
      </c>
      <c r="AC77" s="8" t="n">
        <f aca="false">O77/P77</f>
        <v>0.724137931034483</v>
      </c>
      <c r="AD77" s="9" t="str">
        <f aca="false">IF(AB77&gt;=15,"High Priority",IF(AB77&gt;=7,"Medium Priority",IF(AB77&gt;0,"Low Priority","Monitor / No Gap")))</f>
        <v>Monitor / No Gap</v>
      </c>
      <c r="AE77" s="10" t="str">
        <f aca="false">IF(AD77="High Priority","Build Immediately - Critical Feature Gap",IF(AD77="Medium Priority","Plan for Next Roadmap Cycle",IF(AD77="Low Priority","Monitor &amp; Reassess Quarterly","No Action - Parity or Competitive Advantage")))</f>
        <v>No Action - Parity or Competitive Advantage</v>
      </c>
    </row>
    <row r="78" customFormat="false" ht="23.85" hidden="false" customHeight="false" outlineLevel="0" collapsed="false">
      <c r="A78" s="6" t="s">
        <v>168</v>
      </c>
      <c r="B78" s="7" t="s">
        <v>50</v>
      </c>
      <c r="C78" s="7" t="s">
        <v>60</v>
      </c>
      <c r="D78" s="6" t="s">
        <v>52</v>
      </c>
      <c r="E78" s="6" t="s">
        <v>162</v>
      </c>
      <c r="F78" s="7" t="s">
        <v>167</v>
      </c>
      <c r="G78" s="6" t="s">
        <v>55</v>
      </c>
      <c r="H78" s="6" t="s">
        <v>55</v>
      </c>
      <c r="I78" s="8" t="n">
        <f aca="false">IF(G78="Yes",1,IF(G78="Partial",0.5,0))</f>
        <v>1</v>
      </c>
      <c r="J78" s="8" t="n">
        <f aca="false">IF(H78="Yes",1,IF(H78="Partial",0.5,0))</f>
        <v>1</v>
      </c>
      <c r="K78" s="6" t="n">
        <v>5</v>
      </c>
      <c r="L78" s="6" t="n">
        <v>5</v>
      </c>
      <c r="M78" s="6" t="n">
        <v>4</v>
      </c>
      <c r="N78" s="6" t="n">
        <v>4.3</v>
      </c>
      <c r="O78" s="6" t="n">
        <v>42000</v>
      </c>
      <c r="P78" s="6" t="n">
        <v>32000</v>
      </c>
      <c r="Q78" s="7" t="s">
        <v>61</v>
      </c>
      <c r="R78" s="6" t="n">
        <v>4</v>
      </c>
      <c r="S78" s="6" t="n">
        <v>4</v>
      </c>
      <c r="T78" s="6" t="n">
        <v>4</v>
      </c>
      <c r="U78" s="6" t="n">
        <v>5</v>
      </c>
      <c r="V78" s="6" t="s">
        <v>58</v>
      </c>
      <c r="W78" s="6" t="n">
        <v>2</v>
      </c>
      <c r="X78" s="6" t="n">
        <v>4</v>
      </c>
      <c r="Y78" s="6" t="n">
        <v>15</v>
      </c>
      <c r="Z78" s="6" t="n">
        <f aca="false">(J78-I78)*K78</f>
        <v>0</v>
      </c>
      <c r="AA78" s="8" t="n">
        <f aca="false">IF(Z78&lt;0,ABS(Z78),0)</f>
        <v>0</v>
      </c>
      <c r="AB78" s="8" t="n">
        <f aca="false">IF(Z78&gt;0,Z78*L78,0)</f>
        <v>0</v>
      </c>
      <c r="AC78" s="8" t="n">
        <f aca="false">O78/P78</f>
        <v>1.3125</v>
      </c>
      <c r="AD78" s="9" t="str">
        <f aca="false">IF(AB78&gt;=15,"High Priority",IF(AB78&gt;=7,"Medium Priority",IF(AB78&gt;0,"Low Priority","Monitor / No Gap")))</f>
        <v>Monitor / No Gap</v>
      </c>
      <c r="AE78" s="10" t="str">
        <f aca="false">IF(AD78="High Priority","Build Immediately - Critical Feature Gap",IF(AD78="Medium Priority","Plan for Next Roadmap Cycle",IF(AD78="Low Priority","Monitor &amp; Reassess Quarterly","No Action - Parity or Competitive Advantage")))</f>
        <v>No Action - Parity or Competitive Advantage</v>
      </c>
    </row>
    <row r="79" customFormat="false" ht="23.85" hidden="false" customHeight="false" outlineLevel="0" collapsed="false">
      <c r="A79" s="6" t="s">
        <v>169</v>
      </c>
      <c r="B79" s="7" t="s">
        <v>50</v>
      </c>
      <c r="C79" s="7" t="s">
        <v>63</v>
      </c>
      <c r="D79" s="6" t="s">
        <v>52</v>
      </c>
      <c r="E79" s="6" t="s">
        <v>162</v>
      </c>
      <c r="F79" s="7" t="s">
        <v>167</v>
      </c>
      <c r="G79" s="6" t="s">
        <v>55</v>
      </c>
      <c r="H79" s="6" t="s">
        <v>55</v>
      </c>
      <c r="I79" s="8" t="n">
        <f aca="false">IF(G79="Yes",1,IF(G79="Partial",0.5,0))</f>
        <v>1</v>
      </c>
      <c r="J79" s="8" t="n">
        <f aca="false">IF(H79="Yes",1,IF(H79="Partial",0.5,0))</f>
        <v>1</v>
      </c>
      <c r="K79" s="6" t="n">
        <v>5</v>
      </c>
      <c r="L79" s="6" t="n">
        <v>5</v>
      </c>
      <c r="M79" s="6" t="n">
        <v>4.1</v>
      </c>
      <c r="N79" s="6" t="n">
        <v>4.3</v>
      </c>
      <c r="O79" s="6" t="n">
        <v>42000</v>
      </c>
      <c r="P79" s="6" t="n">
        <v>47000</v>
      </c>
      <c r="Q79" s="7" t="s">
        <v>64</v>
      </c>
      <c r="R79" s="6" t="n">
        <v>4</v>
      </c>
      <c r="S79" s="6" t="n">
        <v>4</v>
      </c>
      <c r="T79" s="6" t="n">
        <v>4</v>
      </c>
      <c r="U79" s="6" t="n">
        <v>5</v>
      </c>
      <c r="V79" s="6" t="s">
        <v>58</v>
      </c>
      <c r="W79" s="6" t="n">
        <v>2</v>
      </c>
      <c r="X79" s="6" t="n">
        <v>4</v>
      </c>
      <c r="Y79" s="6" t="n">
        <v>18</v>
      </c>
      <c r="Z79" s="6" t="n">
        <f aca="false">(J79-I79)*K79</f>
        <v>0</v>
      </c>
      <c r="AA79" s="8" t="n">
        <f aca="false">IF(Z79&lt;0,ABS(Z79),0)</f>
        <v>0</v>
      </c>
      <c r="AB79" s="8" t="n">
        <f aca="false">IF(Z79&gt;0,Z79*L79,0)</f>
        <v>0</v>
      </c>
      <c r="AC79" s="8" t="n">
        <f aca="false">O79/P79</f>
        <v>0.893617021276596</v>
      </c>
      <c r="AD79" s="9" t="str">
        <f aca="false">IF(AB79&gt;=15,"High Priority",IF(AB79&gt;=7,"Medium Priority",IF(AB79&gt;0,"Low Priority","Monitor / No Gap")))</f>
        <v>Monitor / No Gap</v>
      </c>
      <c r="AE79" s="10" t="str">
        <f aca="false">IF(AD79="High Priority","Build Immediately - Critical Feature Gap",IF(AD79="Medium Priority","Plan for Next Roadmap Cycle",IF(AD79="Low Priority","Monitor &amp; Reassess Quarterly","No Action - Parity or Competitive Advantage")))</f>
        <v>No Action - Parity or Competitive Advantage</v>
      </c>
    </row>
    <row r="80" customFormat="false" ht="23.85" hidden="false" customHeight="false" outlineLevel="0" collapsed="false">
      <c r="A80" s="6" t="s">
        <v>170</v>
      </c>
      <c r="B80" s="7" t="s">
        <v>50</v>
      </c>
      <c r="C80" s="7" t="s">
        <v>51</v>
      </c>
      <c r="D80" s="6" t="s">
        <v>52</v>
      </c>
      <c r="E80" s="6" t="s">
        <v>162</v>
      </c>
      <c r="F80" s="7" t="s">
        <v>171</v>
      </c>
      <c r="G80" s="6" t="s">
        <v>55</v>
      </c>
      <c r="H80" s="6" t="s">
        <v>55</v>
      </c>
      <c r="I80" s="8" t="n">
        <f aca="false">IF(G80="Yes",1,IF(G80="Partial",0.5,0))</f>
        <v>1</v>
      </c>
      <c r="J80" s="8" t="n">
        <f aca="false">IF(H80="Yes",1,IF(H80="Partial",0.5,0))</f>
        <v>1</v>
      </c>
      <c r="K80" s="6" t="n">
        <v>5</v>
      </c>
      <c r="L80" s="6" t="n">
        <v>4</v>
      </c>
      <c r="M80" s="6" t="n">
        <v>4.2</v>
      </c>
      <c r="N80" s="6" t="n">
        <v>4.4</v>
      </c>
      <c r="O80" s="6" t="n">
        <v>42000</v>
      </c>
      <c r="P80" s="6" t="n">
        <v>58000</v>
      </c>
      <c r="Q80" s="7" t="s">
        <v>57</v>
      </c>
      <c r="R80" s="6" t="n">
        <v>4</v>
      </c>
      <c r="S80" s="6" t="n">
        <v>4</v>
      </c>
      <c r="T80" s="6" t="n">
        <v>4</v>
      </c>
      <c r="U80" s="6" t="n">
        <v>5</v>
      </c>
      <c r="V80" s="6" t="s">
        <v>58</v>
      </c>
      <c r="W80" s="6" t="n">
        <v>2</v>
      </c>
      <c r="X80" s="6" t="n">
        <v>4</v>
      </c>
      <c r="Y80" s="6" t="n">
        <v>22</v>
      </c>
      <c r="Z80" s="6" t="n">
        <f aca="false">(J80-I80)*K80</f>
        <v>0</v>
      </c>
      <c r="AA80" s="8" t="n">
        <f aca="false">IF(Z80&lt;0,ABS(Z80),0)</f>
        <v>0</v>
      </c>
      <c r="AB80" s="8" t="n">
        <f aca="false">IF(Z80&gt;0,Z80*L80,0)</f>
        <v>0</v>
      </c>
      <c r="AC80" s="8" t="n">
        <f aca="false">O80/P80</f>
        <v>0.724137931034483</v>
      </c>
      <c r="AD80" s="9" t="str">
        <f aca="false">IF(AB80&gt;=15,"High Priority",IF(AB80&gt;=7,"Medium Priority",IF(AB80&gt;0,"Low Priority","Monitor / No Gap")))</f>
        <v>Monitor / No Gap</v>
      </c>
      <c r="AE80" s="10" t="str">
        <f aca="false">IF(AD80="High Priority","Build Immediately - Critical Feature Gap",IF(AD80="Medium Priority","Plan for Next Roadmap Cycle",IF(AD80="Low Priority","Monitor &amp; Reassess Quarterly","No Action - Parity or Competitive Advantage")))</f>
        <v>No Action - Parity or Competitive Advantage</v>
      </c>
    </row>
    <row r="81" customFormat="false" ht="23.85" hidden="false" customHeight="false" outlineLevel="0" collapsed="false">
      <c r="A81" s="6" t="s">
        <v>172</v>
      </c>
      <c r="B81" s="7" t="s">
        <v>50</v>
      </c>
      <c r="C81" s="7" t="s">
        <v>60</v>
      </c>
      <c r="D81" s="6" t="s">
        <v>52</v>
      </c>
      <c r="E81" s="6" t="s">
        <v>162</v>
      </c>
      <c r="F81" s="7" t="s">
        <v>171</v>
      </c>
      <c r="G81" s="6" t="s">
        <v>55</v>
      </c>
      <c r="H81" s="6" t="s">
        <v>55</v>
      </c>
      <c r="I81" s="8" t="n">
        <f aca="false">IF(G81="Yes",1,IF(G81="Partial",0.5,0))</f>
        <v>1</v>
      </c>
      <c r="J81" s="8" t="n">
        <f aca="false">IF(H81="Yes",1,IF(H81="Partial",0.5,0))</f>
        <v>1</v>
      </c>
      <c r="K81" s="6" t="n">
        <v>5</v>
      </c>
      <c r="L81" s="6" t="n">
        <v>4</v>
      </c>
      <c r="M81" s="6" t="n">
        <v>4.1</v>
      </c>
      <c r="N81" s="6" t="n">
        <v>4.1</v>
      </c>
      <c r="O81" s="6" t="n">
        <v>42000</v>
      </c>
      <c r="P81" s="6" t="n">
        <v>32000</v>
      </c>
      <c r="Q81" s="7" t="s">
        <v>61</v>
      </c>
      <c r="R81" s="6" t="n">
        <v>4</v>
      </c>
      <c r="S81" s="6" t="n">
        <v>4</v>
      </c>
      <c r="T81" s="6" t="n">
        <v>4</v>
      </c>
      <c r="U81" s="6" t="n">
        <v>5</v>
      </c>
      <c r="V81" s="6" t="s">
        <v>58</v>
      </c>
      <c r="W81" s="6" t="n">
        <v>2</v>
      </c>
      <c r="X81" s="6" t="n">
        <v>4</v>
      </c>
      <c r="Y81" s="6" t="n">
        <v>15</v>
      </c>
      <c r="Z81" s="6" t="n">
        <f aca="false">(J81-I81)*K81</f>
        <v>0</v>
      </c>
      <c r="AA81" s="8" t="n">
        <f aca="false">IF(Z81&lt;0,ABS(Z81),0)</f>
        <v>0</v>
      </c>
      <c r="AB81" s="8" t="n">
        <f aca="false">IF(Z81&gt;0,Z81*L81,0)</f>
        <v>0</v>
      </c>
      <c r="AC81" s="8" t="n">
        <f aca="false">O81/P81</f>
        <v>1.3125</v>
      </c>
      <c r="AD81" s="9" t="str">
        <f aca="false">IF(AB81&gt;=15,"High Priority",IF(AB81&gt;=7,"Medium Priority",IF(AB81&gt;0,"Low Priority","Monitor / No Gap")))</f>
        <v>Monitor / No Gap</v>
      </c>
      <c r="AE81" s="10" t="str">
        <f aca="false">IF(AD81="High Priority","Build Immediately - Critical Feature Gap",IF(AD81="Medium Priority","Plan for Next Roadmap Cycle",IF(AD81="Low Priority","Monitor &amp; Reassess Quarterly","No Action - Parity or Competitive Advantage")))</f>
        <v>No Action - Parity or Competitive Advantage</v>
      </c>
    </row>
    <row r="82" customFormat="false" ht="23.85" hidden="false" customHeight="false" outlineLevel="0" collapsed="false">
      <c r="A82" s="6" t="s">
        <v>173</v>
      </c>
      <c r="B82" s="7" t="s">
        <v>50</v>
      </c>
      <c r="C82" s="7" t="s">
        <v>63</v>
      </c>
      <c r="D82" s="6" t="s">
        <v>52</v>
      </c>
      <c r="E82" s="6" t="s">
        <v>162</v>
      </c>
      <c r="F82" s="7" t="s">
        <v>171</v>
      </c>
      <c r="G82" s="6" t="s">
        <v>55</v>
      </c>
      <c r="H82" s="6" t="s">
        <v>55</v>
      </c>
      <c r="I82" s="8" t="n">
        <f aca="false">IF(G82="Yes",1,IF(G82="Partial",0.5,0))</f>
        <v>1</v>
      </c>
      <c r="J82" s="8" t="n">
        <f aca="false">IF(H82="Yes",1,IF(H82="Partial",0.5,0))</f>
        <v>1</v>
      </c>
      <c r="K82" s="6" t="n">
        <v>5</v>
      </c>
      <c r="L82" s="6" t="n">
        <v>4</v>
      </c>
      <c r="M82" s="6" t="n">
        <v>4.1</v>
      </c>
      <c r="N82" s="6" t="n">
        <v>4.3</v>
      </c>
      <c r="O82" s="6" t="n">
        <v>42000</v>
      </c>
      <c r="P82" s="6" t="n">
        <v>47000</v>
      </c>
      <c r="Q82" s="7" t="s">
        <v>64</v>
      </c>
      <c r="R82" s="6" t="n">
        <v>4</v>
      </c>
      <c r="S82" s="6" t="n">
        <v>4</v>
      </c>
      <c r="T82" s="6" t="n">
        <v>4</v>
      </c>
      <c r="U82" s="6" t="n">
        <v>5</v>
      </c>
      <c r="V82" s="6" t="s">
        <v>58</v>
      </c>
      <c r="W82" s="6" t="n">
        <v>2</v>
      </c>
      <c r="X82" s="6" t="n">
        <v>4</v>
      </c>
      <c r="Y82" s="6" t="n">
        <v>18</v>
      </c>
      <c r="Z82" s="6" t="n">
        <f aca="false">(J82-I82)*K82</f>
        <v>0</v>
      </c>
      <c r="AA82" s="8" t="n">
        <f aca="false">IF(Z82&lt;0,ABS(Z82),0)</f>
        <v>0</v>
      </c>
      <c r="AB82" s="8" t="n">
        <f aca="false">IF(Z82&gt;0,Z82*L82,0)</f>
        <v>0</v>
      </c>
      <c r="AC82" s="8" t="n">
        <f aca="false">O82/P82</f>
        <v>0.893617021276596</v>
      </c>
      <c r="AD82" s="9" t="str">
        <f aca="false">IF(AB82&gt;=15,"High Priority",IF(AB82&gt;=7,"Medium Priority",IF(AB82&gt;0,"Low Priority","Monitor / No Gap")))</f>
        <v>Monitor / No Gap</v>
      </c>
      <c r="AE82" s="10" t="str">
        <f aca="false">IF(AD82="High Priority","Build Immediately - Critical Feature Gap",IF(AD82="Medium Priority","Plan for Next Roadmap Cycle",IF(AD82="Low Priority","Monitor &amp; Reassess Quarterly","No Action - Parity or Competitive Advantage")))</f>
        <v>No Action - Parity or Competitive Advantage</v>
      </c>
    </row>
    <row r="83" customFormat="false" ht="23.85" hidden="false" customHeight="false" outlineLevel="0" collapsed="false">
      <c r="A83" s="6" t="s">
        <v>174</v>
      </c>
      <c r="B83" s="7" t="s">
        <v>50</v>
      </c>
      <c r="C83" s="7" t="s">
        <v>51</v>
      </c>
      <c r="D83" s="6" t="s">
        <v>52</v>
      </c>
      <c r="E83" s="6" t="s">
        <v>175</v>
      </c>
      <c r="F83" s="7" t="s">
        <v>176</v>
      </c>
      <c r="G83" s="6" t="s">
        <v>58</v>
      </c>
      <c r="H83" s="6" t="s">
        <v>56</v>
      </c>
      <c r="I83" s="8" t="n">
        <f aca="false">IF(G83="Yes",1,IF(G83="Partial",0.5,0))</f>
        <v>0</v>
      </c>
      <c r="J83" s="8" t="n">
        <f aca="false">IF(H83="Yes",1,IF(H83="Partial",0.5,0))</f>
        <v>0.5</v>
      </c>
      <c r="K83" s="6" t="n">
        <v>4</v>
      </c>
      <c r="L83" s="6" t="n">
        <v>4</v>
      </c>
      <c r="M83" s="6" t="n">
        <v>4.1</v>
      </c>
      <c r="N83" s="6" t="n">
        <v>4.1</v>
      </c>
      <c r="O83" s="6" t="n">
        <v>42000</v>
      </c>
      <c r="P83" s="6" t="n">
        <v>58000</v>
      </c>
      <c r="Q83" s="7" t="s">
        <v>57</v>
      </c>
      <c r="R83" s="6" t="n">
        <v>4</v>
      </c>
      <c r="S83" s="6" t="n">
        <v>4</v>
      </c>
      <c r="T83" s="6" t="n">
        <v>4</v>
      </c>
      <c r="U83" s="6" t="n">
        <v>5</v>
      </c>
      <c r="V83" s="6" t="s">
        <v>58</v>
      </c>
      <c r="W83" s="6" t="n">
        <v>2</v>
      </c>
      <c r="X83" s="6" t="n">
        <v>4</v>
      </c>
      <c r="Y83" s="6" t="n">
        <v>22</v>
      </c>
      <c r="Z83" s="6" t="n">
        <f aca="false">(J83-I83)*K83</f>
        <v>2</v>
      </c>
      <c r="AA83" s="8" t="n">
        <f aca="false">IF(Z83&lt;0,ABS(Z83),0)</f>
        <v>0</v>
      </c>
      <c r="AB83" s="8" t="n">
        <f aca="false">IF(Z83&gt;0,Z83*L83,0)</f>
        <v>8</v>
      </c>
      <c r="AC83" s="8" t="n">
        <f aca="false">O83/P83</f>
        <v>0.724137931034483</v>
      </c>
      <c r="AD83" s="9" t="str">
        <f aca="false">IF(AB83&gt;=15,"High Priority",IF(AB83&gt;=7,"Medium Priority",IF(AB83&gt;0,"Low Priority","Monitor / No Gap")))</f>
        <v>Medium Priority</v>
      </c>
      <c r="AE83" s="10" t="str">
        <f aca="false">IF(AD83="High Priority","Build Immediately - Critical Feature Gap",IF(AD83="Medium Priority","Plan for Next Roadmap Cycle",IF(AD83="Low Priority","Monitor &amp; Reassess Quarterly","No Action - Parity or Competitive Advantage")))</f>
        <v>Plan for Next Roadmap Cycle</v>
      </c>
    </row>
    <row r="84" customFormat="false" ht="23.85" hidden="false" customHeight="false" outlineLevel="0" collapsed="false">
      <c r="A84" s="6" t="s">
        <v>177</v>
      </c>
      <c r="B84" s="7" t="s">
        <v>50</v>
      </c>
      <c r="C84" s="7" t="s">
        <v>60</v>
      </c>
      <c r="D84" s="6" t="s">
        <v>52</v>
      </c>
      <c r="E84" s="6" t="s">
        <v>175</v>
      </c>
      <c r="F84" s="7" t="s">
        <v>176</v>
      </c>
      <c r="G84" s="6" t="s">
        <v>58</v>
      </c>
      <c r="H84" s="6" t="s">
        <v>55</v>
      </c>
      <c r="I84" s="8" t="n">
        <f aca="false">IF(G84="Yes",1,IF(G84="Partial",0.5,0))</f>
        <v>0</v>
      </c>
      <c r="J84" s="8" t="n">
        <f aca="false">IF(H84="Yes",1,IF(H84="Partial",0.5,0))</f>
        <v>1</v>
      </c>
      <c r="K84" s="6" t="n">
        <v>4</v>
      </c>
      <c r="L84" s="6" t="n">
        <v>4</v>
      </c>
      <c r="M84" s="6" t="n">
        <v>4.1</v>
      </c>
      <c r="N84" s="6" t="n">
        <v>4.1</v>
      </c>
      <c r="O84" s="6" t="n">
        <v>42000</v>
      </c>
      <c r="P84" s="6" t="n">
        <v>32000</v>
      </c>
      <c r="Q84" s="7" t="s">
        <v>61</v>
      </c>
      <c r="R84" s="6" t="n">
        <v>4</v>
      </c>
      <c r="S84" s="6" t="n">
        <v>4</v>
      </c>
      <c r="T84" s="6" t="n">
        <v>4</v>
      </c>
      <c r="U84" s="6" t="n">
        <v>5</v>
      </c>
      <c r="V84" s="6" t="s">
        <v>58</v>
      </c>
      <c r="W84" s="6" t="n">
        <v>2</v>
      </c>
      <c r="X84" s="6" t="n">
        <v>4</v>
      </c>
      <c r="Y84" s="6" t="n">
        <v>15</v>
      </c>
      <c r="Z84" s="6" t="n">
        <f aca="false">(J84-I84)*K84</f>
        <v>4</v>
      </c>
      <c r="AA84" s="8" t="n">
        <f aca="false">IF(Z84&lt;0,ABS(Z84),0)</f>
        <v>0</v>
      </c>
      <c r="AB84" s="8" t="n">
        <f aca="false">IF(Z84&gt;0,Z84*L84,0)</f>
        <v>16</v>
      </c>
      <c r="AC84" s="8" t="n">
        <f aca="false">O84/P84</f>
        <v>1.3125</v>
      </c>
      <c r="AD84" s="9" t="str">
        <f aca="false">IF(AB84&gt;=15,"High Priority",IF(AB84&gt;=7,"Medium Priority",IF(AB84&gt;0,"Low Priority","Monitor / No Gap")))</f>
        <v>High Priority</v>
      </c>
      <c r="AE84" s="10" t="str">
        <f aca="false">IF(AD84="High Priority","Build Immediately - Critical Feature Gap",IF(AD84="Medium Priority","Plan for Next Roadmap Cycle",IF(AD84="Low Priority","Monitor &amp; Reassess Quarterly","No Action - Parity or Competitive Advantage")))</f>
        <v>Build Immediately - Critical Feature Gap</v>
      </c>
    </row>
    <row r="85" customFormat="false" ht="23.85" hidden="false" customHeight="false" outlineLevel="0" collapsed="false">
      <c r="A85" s="6" t="s">
        <v>178</v>
      </c>
      <c r="B85" s="7" t="s">
        <v>50</v>
      </c>
      <c r="C85" s="7" t="s">
        <v>63</v>
      </c>
      <c r="D85" s="6" t="s">
        <v>52</v>
      </c>
      <c r="E85" s="6" t="s">
        <v>175</v>
      </c>
      <c r="F85" s="7" t="s">
        <v>176</v>
      </c>
      <c r="G85" s="6" t="s">
        <v>58</v>
      </c>
      <c r="H85" s="6" t="s">
        <v>56</v>
      </c>
      <c r="I85" s="8" t="n">
        <f aca="false">IF(G85="Yes",1,IF(G85="Partial",0.5,0))</f>
        <v>0</v>
      </c>
      <c r="J85" s="8" t="n">
        <f aca="false">IF(H85="Yes",1,IF(H85="Partial",0.5,0))</f>
        <v>0.5</v>
      </c>
      <c r="K85" s="6" t="n">
        <v>4</v>
      </c>
      <c r="L85" s="6" t="n">
        <v>4</v>
      </c>
      <c r="M85" s="6" t="n">
        <v>4.2</v>
      </c>
      <c r="N85" s="6" t="n">
        <v>3.8</v>
      </c>
      <c r="O85" s="6" t="n">
        <v>42000</v>
      </c>
      <c r="P85" s="6" t="n">
        <v>47000</v>
      </c>
      <c r="Q85" s="7" t="s">
        <v>64</v>
      </c>
      <c r="R85" s="6" t="n">
        <v>4</v>
      </c>
      <c r="S85" s="6" t="n">
        <v>4</v>
      </c>
      <c r="T85" s="6" t="n">
        <v>4</v>
      </c>
      <c r="U85" s="6" t="n">
        <v>5</v>
      </c>
      <c r="V85" s="6" t="s">
        <v>58</v>
      </c>
      <c r="W85" s="6" t="n">
        <v>2</v>
      </c>
      <c r="X85" s="6" t="n">
        <v>4</v>
      </c>
      <c r="Y85" s="6" t="n">
        <v>18</v>
      </c>
      <c r="Z85" s="6" t="n">
        <f aca="false">(J85-I85)*K85</f>
        <v>2</v>
      </c>
      <c r="AA85" s="8" t="n">
        <f aca="false">IF(Z85&lt;0,ABS(Z85),0)</f>
        <v>0</v>
      </c>
      <c r="AB85" s="8" t="n">
        <f aca="false">IF(Z85&gt;0,Z85*L85,0)</f>
        <v>8</v>
      </c>
      <c r="AC85" s="8" t="n">
        <f aca="false">O85/P85</f>
        <v>0.893617021276596</v>
      </c>
      <c r="AD85" s="9" t="str">
        <f aca="false">IF(AB85&gt;=15,"High Priority",IF(AB85&gt;=7,"Medium Priority",IF(AB85&gt;0,"Low Priority","Monitor / No Gap")))</f>
        <v>Medium Priority</v>
      </c>
      <c r="AE85" s="10" t="str">
        <f aca="false">IF(AD85="High Priority","Build Immediately - Critical Feature Gap",IF(AD85="Medium Priority","Plan for Next Roadmap Cycle",IF(AD85="Low Priority","Monitor &amp; Reassess Quarterly","No Action - Parity or Competitive Advantage")))</f>
        <v>Plan for Next Roadmap Cycle</v>
      </c>
    </row>
    <row r="86" customFormat="false" ht="23.85" hidden="false" customHeight="false" outlineLevel="0" collapsed="false">
      <c r="A86" s="6" t="s">
        <v>179</v>
      </c>
      <c r="B86" s="7" t="s">
        <v>50</v>
      </c>
      <c r="C86" s="7" t="s">
        <v>51</v>
      </c>
      <c r="D86" s="6" t="s">
        <v>52</v>
      </c>
      <c r="E86" s="6" t="s">
        <v>175</v>
      </c>
      <c r="F86" s="7" t="s">
        <v>180</v>
      </c>
      <c r="G86" s="6" t="s">
        <v>58</v>
      </c>
      <c r="H86" s="6" t="s">
        <v>55</v>
      </c>
      <c r="I86" s="8" t="n">
        <f aca="false">IF(G86="Yes",1,IF(G86="Partial",0.5,0))</f>
        <v>0</v>
      </c>
      <c r="J86" s="8" t="n">
        <f aca="false">IF(H86="Yes",1,IF(H86="Partial",0.5,0))</f>
        <v>1</v>
      </c>
      <c r="K86" s="6" t="n">
        <v>3</v>
      </c>
      <c r="L86" s="6" t="n">
        <v>3</v>
      </c>
      <c r="M86" s="6" t="n">
        <v>4.2</v>
      </c>
      <c r="N86" s="6" t="n">
        <v>4.6</v>
      </c>
      <c r="O86" s="6" t="n">
        <v>42000</v>
      </c>
      <c r="P86" s="6" t="n">
        <v>58000</v>
      </c>
      <c r="Q86" s="7" t="s">
        <v>57</v>
      </c>
      <c r="R86" s="6" t="n">
        <v>4</v>
      </c>
      <c r="S86" s="6" t="n">
        <v>4</v>
      </c>
      <c r="T86" s="6" t="n">
        <v>4</v>
      </c>
      <c r="U86" s="6" t="n">
        <v>5</v>
      </c>
      <c r="V86" s="6" t="s">
        <v>58</v>
      </c>
      <c r="W86" s="6" t="n">
        <v>2</v>
      </c>
      <c r="X86" s="6" t="n">
        <v>4</v>
      </c>
      <c r="Y86" s="6" t="n">
        <v>22</v>
      </c>
      <c r="Z86" s="6" t="n">
        <f aca="false">(J86-I86)*K86</f>
        <v>3</v>
      </c>
      <c r="AA86" s="8" t="n">
        <f aca="false">IF(Z86&lt;0,ABS(Z86),0)</f>
        <v>0</v>
      </c>
      <c r="AB86" s="8" t="n">
        <f aca="false">IF(Z86&gt;0,Z86*L86,0)</f>
        <v>9</v>
      </c>
      <c r="AC86" s="8" t="n">
        <f aca="false">O86/P86</f>
        <v>0.724137931034483</v>
      </c>
      <c r="AD86" s="9" t="str">
        <f aca="false">IF(AB86&gt;=15,"High Priority",IF(AB86&gt;=7,"Medium Priority",IF(AB86&gt;0,"Low Priority","Monitor / No Gap")))</f>
        <v>Medium Priority</v>
      </c>
      <c r="AE86" s="10" t="str">
        <f aca="false">IF(AD86="High Priority","Build Immediately - Critical Feature Gap",IF(AD86="Medium Priority","Plan for Next Roadmap Cycle",IF(AD86="Low Priority","Monitor &amp; Reassess Quarterly","No Action - Parity or Competitive Advantage")))</f>
        <v>Plan for Next Roadmap Cycle</v>
      </c>
    </row>
    <row r="87" customFormat="false" ht="23.85" hidden="false" customHeight="false" outlineLevel="0" collapsed="false">
      <c r="A87" s="6" t="s">
        <v>181</v>
      </c>
      <c r="B87" s="7" t="s">
        <v>50</v>
      </c>
      <c r="C87" s="7" t="s">
        <v>60</v>
      </c>
      <c r="D87" s="6" t="s">
        <v>52</v>
      </c>
      <c r="E87" s="6" t="s">
        <v>175</v>
      </c>
      <c r="F87" s="7" t="s">
        <v>180</v>
      </c>
      <c r="G87" s="6" t="s">
        <v>58</v>
      </c>
      <c r="H87" s="6" t="s">
        <v>58</v>
      </c>
      <c r="I87" s="8" t="n">
        <f aca="false">IF(G87="Yes",1,IF(G87="Partial",0.5,0))</f>
        <v>0</v>
      </c>
      <c r="J87" s="8" t="n">
        <f aca="false">IF(H87="Yes",1,IF(H87="Partial",0.5,0))</f>
        <v>0</v>
      </c>
      <c r="K87" s="6" t="n">
        <v>3</v>
      </c>
      <c r="L87" s="6" t="n">
        <v>3</v>
      </c>
      <c r="M87" s="6" t="n">
        <v>4</v>
      </c>
      <c r="N87" s="6" t="n">
        <v>3.2</v>
      </c>
      <c r="O87" s="6" t="n">
        <v>42000</v>
      </c>
      <c r="P87" s="6" t="n">
        <v>32000</v>
      </c>
      <c r="Q87" s="7" t="s">
        <v>61</v>
      </c>
      <c r="R87" s="6" t="n">
        <v>4</v>
      </c>
      <c r="S87" s="6" t="n">
        <v>4</v>
      </c>
      <c r="T87" s="6" t="n">
        <v>4</v>
      </c>
      <c r="U87" s="6" t="n">
        <v>5</v>
      </c>
      <c r="V87" s="6" t="s">
        <v>58</v>
      </c>
      <c r="W87" s="6" t="n">
        <v>2</v>
      </c>
      <c r="X87" s="6" t="n">
        <v>4</v>
      </c>
      <c r="Y87" s="6" t="n">
        <v>15</v>
      </c>
      <c r="Z87" s="6" t="n">
        <f aca="false">(J87-I87)*K87</f>
        <v>0</v>
      </c>
      <c r="AA87" s="8" t="n">
        <f aca="false">IF(Z87&lt;0,ABS(Z87),0)</f>
        <v>0</v>
      </c>
      <c r="AB87" s="8" t="n">
        <f aca="false">IF(Z87&gt;0,Z87*L87,0)</f>
        <v>0</v>
      </c>
      <c r="AC87" s="8" t="n">
        <f aca="false">O87/P87</f>
        <v>1.3125</v>
      </c>
      <c r="AD87" s="9" t="str">
        <f aca="false">IF(AB87&gt;=15,"High Priority",IF(AB87&gt;=7,"Medium Priority",IF(AB87&gt;0,"Low Priority","Monitor / No Gap")))</f>
        <v>Monitor / No Gap</v>
      </c>
      <c r="AE87" s="10" t="str">
        <f aca="false">IF(AD87="High Priority","Build Immediately - Critical Feature Gap",IF(AD87="Medium Priority","Plan for Next Roadmap Cycle",IF(AD87="Low Priority","Monitor &amp; Reassess Quarterly","No Action - Parity or Competitive Advantage")))</f>
        <v>No Action - Parity or Competitive Advantage</v>
      </c>
    </row>
    <row r="88" customFormat="false" ht="23.85" hidden="false" customHeight="false" outlineLevel="0" collapsed="false">
      <c r="A88" s="6" t="s">
        <v>182</v>
      </c>
      <c r="B88" s="7" t="s">
        <v>50</v>
      </c>
      <c r="C88" s="7" t="s">
        <v>63</v>
      </c>
      <c r="D88" s="6" t="s">
        <v>52</v>
      </c>
      <c r="E88" s="6" t="s">
        <v>175</v>
      </c>
      <c r="F88" s="7" t="s">
        <v>180</v>
      </c>
      <c r="G88" s="6" t="s">
        <v>58</v>
      </c>
      <c r="H88" s="6" t="s">
        <v>56</v>
      </c>
      <c r="I88" s="8" t="n">
        <f aca="false">IF(G88="Yes",1,IF(G88="Partial",0.5,0))</f>
        <v>0</v>
      </c>
      <c r="J88" s="8" t="n">
        <f aca="false">IF(H88="Yes",1,IF(H88="Partial",0.5,0))</f>
        <v>0.5</v>
      </c>
      <c r="K88" s="6" t="n">
        <v>3</v>
      </c>
      <c r="L88" s="6" t="n">
        <v>3</v>
      </c>
      <c r="M88" s="6" t="n">
        <v>4.2</v>
      </c>
      <c r="N88" s="6" t="n">
        <v>4.1</v>
      </c>
      <c r="O88" s="6" t="n">
        <v>42000</v>
      </c>
      <c r="P88" s="6" t="n">
        <v>47000</v>
      </c>
      <c r="Q88" s="7" t="s">
        <v>64</v>
      </c>
      <c r="R88" s="6" t="n">
        <v>4</v>
      </c>
      <c r="S88" s="6" t="n">
        <v>4</v>
      </c>
      <c r="T88" s="6" t="n">
        <v>4</v>
      </c>
      <c r="U88" s="6" t="n">
        <v>5</v>
      </c>
      <c r="V88" s="6" t="s">
        <v>58</v>
      </c>
      <c r="W88" s="6" t="n">
        <v>2</v>
      </c>
      <c r="X88" s="6" t="n">
        <v>4</v>
      </c>
      <c r="Y88" s="6" t="n">
        <v>18</v>
      </c>
      <c r="Z88" s="6" t="n">
        <f aca="false">(J88-I88)*K88</f>
        <v>1.5</v>
      </c>
      <c r="AA88" s="8" t="n">
        <f aca="false">IF(Z88&lt;0,ABS(Z88),0)</f>
        <v>0</v>
      </c>
      <c r="AB88" s="8" t="n">
        <f aca="false">IF(Z88&gt;0,Z88*L88,0)</f>
        <v>4.5</v>
      </c>
      <c r="AC88" s="8" t="n">
        <f aca="false">O88/P88</f>
        <v>0.893617021276596</v>
      </c>
      <c r="AD88" s="9" t="str">
        <f aca="false">IF(AB88&gt;=15,"High Priority",IF(AB88&gt;=7,"Medium Priority",IF(AB88&gt;0,"Low Priority","Monitor / No Gap")))</f>
        <v>Low Priority</v>
      </c>
      <c r="AE88" s="10" t="str">
        <f aca="false">IF(AD88="High Priority","Build Immediately - Critical Feature Gap",IF(AD88="Medium Priority","Plan for Next Roadmap Cycle",IF(AD88="Low Priority","Monitor &amp; Reassess Quarterly","No Action - Parity or Competitive Advantage")))</f>
        <v>Monitor &amp; Reassess Quarterly</v>
      </c>
    </row>
    <row r="89" customFormat="false" ht="23.85" hidden="false" customHeight="false" outlineLevel="0" collapsed="false">
      <c r="A89" s="6" t="s">
        <v>183</v>
      </c>
      <c r="B89" s="7" t="s">
        <v>50</v>
      </c>
      <c r="C89" s="7" t="s">
        <v>51</v>
      </c>
      <c r="D89" s="6" t="s">
        <v>52</v>
      </c>
      <c r="E89" s="6" t="s">
        <v>184</v>
      </c>
      <c r="F89" s="7" t="s">
        <v>185</v>
      </c>
      <c r="G89" s="6" t="s">
        <v>55</v>
      </c>
      <c r="H89" s="6" t="s">
        <v>58</v>
      </c>
      <c r="I89" s="8" t="n">
        <f aca="false">IF(G89="Yes",1,IF(G89="Partial",0.5,0))</f>
        <v>1</v>
      </c>
      <c r="J89" s="8" t="n">
        <f aca="false">IF(H89="Yes",1,IF(H89="Partial",0.5,0))</f>
        <v>0</v>
      </c>
      <c r="K89" s="6" t="n">
        <v>4</v>
      </c>
      <c r="L89" s="6" t="n">
        <v>3</v>
      </c>
      <c r="M89" s="6" t="n">
        <v>4</v>
      </c>
      <c r="N89" s="6" t="n">
        <v>3.8</v>
      </c>
      <c r="O89" s="6" t="n">
        <v>42000</v>
      </c>
      <c r="P89" s="6" t="n">
        <v>58000</v>
      </c>
      <c r="Q89" s="7" t="s">
        <v>57</v>
      </c>
      <c r="R89" s="6" t="n">
        <v>4</v>
      </c>
      <c r="S89" s="6" t="n">
        <v>4</v>
      </c>
      <c r="T89" s="6" t="n">
        <v>4</v>
      </c>
      <c r="U89" s="6" t="n">
        <v>5</v>
      </c>
      <c r="V89" s="6" t="s">
        <v>58</v>
      </c>
      <c r="W89" s="6" t="n">
        <v>2</v>
      </c>
      <c r="X89" s="6" t="n">
        <v>4</v>
      </c>
      <c r="Y89" s="6" t="n">
        <v>22</v>
      </c>
      <c r="Z89" s="6" t="n">
        <f aca="false">(J89-I89)*K89</f>
        <v>-4</v>
      </c>
      <c r="AA89" s="8" t="n">
        <f aca="false">IF(Z89&lt;0,ABS(Z89),0)</f>
        <v>4</v>
      </c>
      <c r="AB89" s="8" t="n">
        <f aca="false">IF(Z89&gt;0,Z89*L89,0)</f>
        <v>0</v>
      </c>
      <c r="AC89" s="8" t="n">
        <f aca="false">O89/P89</f>
        <v>0.724137931034483</v>
      </c>
      <c r="AD89" s="9" t="str">
        <f aca="false">IF(AB89&gt;=15,"High Priority",IF(AB89&gt;=7,"Medium Priority",IF(AB89&gt;0,"Low Priority","Monitor / No Gap")))</f>
        <v>Monitor / No Gap</v>
      </c>
      <c r="AE89" s="10" t="str">
        <f aca="false">IF(AD89="High Priority","Build Immediately - Critical Feature Gap",IF(AD89="Medium Priority","Plan for Next Roadmap Cycle",IF(AD89="Low Priority","Monitor &amp; Reassess Quarterly","No Action - Parity or Competitive Advantage")))</f>
        <v>No Action - Parity or Competitive Advantage</v>
      </c>
    </row>
    <row r="90" customFormat="false" ht="23.85" hidden="false" customHeight="false" outlineLevel="0" collapsed="false">
      <c r="A90" s="6" t="s">
        <v>186</v>
      </c>
      <c r="B90" s="7" t="s">
        <v>50</v>
      </c>
      <c r="C90" s="7" t="s">
        <v>60</v>
      </c>
      <c r="D90" s="6" t="s">
        <v>52</v>
      </c>
      <c r="E90" s="6" t="s">
        <v>184</v>
      </c>
      <c r="F90" s="7" t="s">
        <v>185</v>
      </c>
      <c r="G90" s="6" t="s">
        <v>55</v>
      </c>
      <c r="H90" s="6" t="s">
        <v>58</v>
      </c>
      <c r="I90" s="8" t="n">
        <f aca="false">IF(G90="Yes",1,IF(G90="Partial",0.5,0))</f>
        <v>1</v>
      </c>
      <c r="J90" s="8" t="n">
        <f aca="false">IF(H90="Yes",1,IF(H90="Partial",0.5,0))</f>
        <v>0</v>
      </c>
      <c r="K90" s="6" t="n">
        <v>4</v>
      </c>
      <c r="L90" s="6" t="n">
        <v>3</v>
      </c>
      <c r="M90" s="6" t="n">
        <v>4.1</v>
      </c>
      <c r="N90" s="6" t="n">
        <v>3.5</v>
      </c>
      <c r="O90" s="6" t="n">
        <v>42000</v>
      </c>
      <c r="P90" s="6" t="n">
        <v>32000</v>
      </c>
      <c r="Q90" s="7" t="s">
        <v>61</v>
      </c>
      <c r="R90" s="6" t="n">
        <v>4</v>
      </c>
      <c r="S90" s="6" t="n">
        <v>4</v>
      </c>
      <c r="T90" s="6" t="n">
        <v>4</v>
      </c>
      <c r="U90" s="6" t="n">
        <v>5</v>
      </c>
      <c r="V90" s="6" t="s">
        <v>58</v>
      </c>
      <c r="W90" s="6" t="n">
        <v>2</v>
      </c>
      <c r="X90" s="6" t="n">
        <v>4</v>
      </c>
      <c r="Y90" s="6" t="n">
        <v>15</v>
      </c>
      <c r="Z90" s="6" t="n">
        <f aca="false">(J90-I90)*K90</f>
        <v>-4</v>
      </c>
      <c r="AA90" s="8" t="n">
        <f aca="false">IF(Z90&lt;0,ABS(Z90),0)</f>
        <v>4</v>
      </c>
      <c r="AB90" s="8" t="n">
        <f aca="false">IF(Z90&gt;0,Z90*L90,0)</f>
        <v>0</v>
      </c>
      <c r="AC90" s="8" t="n">
        <f aca="false">O90/P90</f>
        <v>1.3125</v>
      </c>
      <c r="AD90" s="9" t="str">
        <f aca="false">IF(AB90&gt;=15,"High Priority",IF(AB90&gt;=7,"Medium Priority",IF(AB90&gt;0,"Low Priority","Monitor / No Gap")))</f>
        <v>Monitor / No Gap</v>
      </c>
      <c r="AE90" s="10" t="str">
        <f aca="false">IF(AD90="High Priority","Build Immediately - Critical Feature Gap",IF(AD90="Medium Priority","Plan for Next Roadmap Cycle",IF(AD90="Low Priority","Monitor &amp; Reassess Quarterly","No Action - Parity or Competitive Advantage")))</f>
        <v>No Action - Parity or Competitive Advantage</v>
      </c>
    </row>
    <row r="91" customFormat="false" ht="23.85" hidden="false" customHeight="false" outlineLevel="0" collapsed="false">
      <c r="A91" s="6" t="s">
        <v>187</v>
      </c>
      <c r="B91" s="7" t="s">
        <v>50</v>
      </c>
      <c r="C91" s="7" t="s">
        <v>63</v>
      </c>
      <c r="D91" s="6" t="s">
        <v>52</v>
      </c>
      <c r="E91" s="6" t="s">
        <v>184</v>
      </c>
      <c r="F91" s="7" t="s">
        <v>185</v>
      </c>
      <c r="G91" s="6" t="s">
        <v>55</v>
      </c>
      <c r="H91" s="6" t="s">
        <v>56</v>
      </c>
      <c r="I91" s="8" t="n">
        <f aca="false">IF(G91="Yes",1,IF(G91="Partial",0.5,0))</f>
        <v>1</v>
      </c>
      <c r="J91" s="8" t="n">
        <f aca="false">IF(H91="Yes",1,IF(H91="Partial",0.5,0))</f>
        <v>0.5</v>
      </c>
      <c r="K91" s="6" t="n">
        <v>4</v>
      </c>
      <c r="L91" s="6" t="n">
        <v>3</v>
      </c>
      <c r="M91" s="6" t="n">
        <v>4</v>
      </c>
      <c r="N91" s="6" t="n">
        <v>4</v>
      </c>
      <c r="O91" s="6" t="n">
        <v>42000</v>
      </c>
      <c r="P91" s="6" t="n">
        <v>47000</v>
      </c>
      <c r="Q91" s="7" t="s">
        <v>64</v>
      </c>
      <c r="R91" s="6" t="n">
        <v>4</v>
      </c>
      <c r="S91" s="6" t="n">
        <v>4</v>
      </c>
      <c r="T91" s="6" t="n">
        <v>4</v>
      </c>
      <c r="U91" s="6" t="n">
        <v>5</v>
      </c>
      <c r="V91" s="6" t="s">
        <v>58</v>
      </c>
      <c r="W91" s="6" t="n">
        <v>2</v>
      </c>
      <c r="X91" s="6" t="n">
        <v>4</v>
      </c>
      <c r="Y91" s="6" t="n">
        <v>18</v>
      </c>
      <c r="Z91" s="6" t="n">
        <f aca="false">(J91-I91)*K91</f>
        <v>-2</v>
      </c>
      <c r="AA91" s="8" t="n">
        <f aca="false">IF(Z91&lt;0,ABS(Z91),0)</f>
        <v>2</v>
      </c>
      <c r="AB91" s="8" t="n">
        <f aca="false">IF(Z91&gt;0,Z91*L91,0)</f>
        <v>0</v>
      </c>
      <c r="AC91" s="8" t="n">
        <f aca="false">O91/P91</f>
        <v>0.893617021276596</v>
      </c>
      <c r="AD91" s="9" t="str">
        <f aca="false">IF(AB91&gt;=15,"High Priority",IF(AB91&gt;=7,"Medium Priority",IF(AB91&gt;0,"Low Priority","Monitor / No Gap")))</f>
        <v>Monitor / No Gap</v>
      </c>
      <c r="AE91" s="10" t="str">
        <f aca="false">IF(AD91="High Priority","Build Immediately - Critical Feature Gap",IF(AD91="Medium Priority","Plan for Next Roadmap Cycle",IF(AD91="Low Priority","Monitor &amp; Reassess Quarterly","No Action - Parity or Competitive Advantage")))</f>
        <v>No Action - Parity or Competitive Advantage</v>
      </c>
    </row>
    <row r="92" customFormat="false" ht="23.85" hidden="false" customHeight="false" outlineLevel="0" collapsed="false">
      <c r="A92" s="6" t="s">
        <v>188</v>
      </c>
      <c r="B92" s="7" t="s">
        <v>50</v>
      </c>
      <c r="C92" s="7" t="s">
        <v>51</v>
      </c>
      <c r="D92" s="6" t="s">
        <v>52</v>
      </c>
      <c r="E92" s="6" t="s">
        <v>184</v>
      </c>
      <c r="F92" s="7" t="s">
        <v>189</v>
      </c>
      <c r="G92" s="6" t="s">
        <v>55</v>
      </c>
      <c r="H92" s="6" t="s">
        <v>58</v>
      </c>
      <c r="I92" s="8" t="n">
        <f aca="false">IF(G92="Yes",1,IF(G92="Partial",0.5,0))</f>
        <v>1</v>
      </c>
      <c r="J92" s="8" t="n">
        <f aca="false">IF(H92="Yes",1,IF(H92="Partial",0.5,0))</f>
        <v>0</v>
      </c>
      <c r="K92" s="6" t="n">
        <v>5</v>
      </c>
      <c r="L92" s="6" t="n">
        <v>4</v>
      </c>
      <c r="M92" s="6" t="n">
        <v>4.1</v>
      </c>
      <c r="N92" s="6" t="n">
        <v>3.8</v>
      </c>
      <c r="O92" s="6" t="n">
        <v>42000</v>
      </c>
      <c r="P92" s="6" t="n">
        <v>58000</v>
      </c>
      <c r="Q92" s="7" t="s">
        <v>57</v>
      </c>
      <c r="R92" s="6" t="n">
        <v>4</v>
      </c>
      <c r="S92" s="6" t="n">
        <v>4</v>
      </c>
      <c r="T92" s="6" t="n">
        <v>4</v>
      </c>
      <c r="U92" s="6" t="n">
        <v>5</v>
      </c>
      <c r="V92" s="6" t="s">
        <v>58</v>
      </c>
      <c r="W92" s="6" t="n">
        <v>2</v>
      </c>
      <c r="X92" s="6" t="n">
        <v>4</v>
      </c>
      <c r="Y92" s="6" t="n">
        <v>22</v>
      </c>
      <c r="Z92" s="6" t="n">
        <f aca="false">(J92-I92)*K92</f>
        <v>-5</v>
      </c>
      <c r="AA92" s="8" t="n">
        <f aca="false">IF(Z92&lt;0,ABS(Z92),0)</f>
        <v>5</v>
      </c>
      <c r="AB92" s="8" t="n">
        <f aca="false">IF(Z92&gt;0,Z92*L92,0)</f>
        <v>0</v>
      </c>
      <c r="AC92" s="8" t="n">
        <f aca="false">O92/P92</f>
        <v>0.724137931034483</v>
      </c>
      <c r="AD92" s="9" t="str">
        <f aca="false">IF(AB92&gt;=15,"High Priority",IF(AB92&gt;=7,"Medium Priority",IF(AB92&gt;0,"Low Priority","Monitor / No Gap")))</f>
        <v>Monitor / No Gap</v>
      </c>
      <c r="AE92" s="10" t="str">
        <f aca="false">IF(AD92="High Priority","Build Immediately - Critical Feature Gap",IF(AD92="Medium Priority","Plan for Next Roadmap Cycle",IF(AD92="Low Priority","Monitor &amp; Reassess Quarterly","No Action - Parity or Competitive Advantage")))</f>
        <v>No Action - Parity or Competitive Advantage</v>
      </c>
    </row>
    <row r="93" customFormat="false" ht="23.85" hidden="false" customHeight="false" outlineLevel="0" collapsed="false">
      <c r="A93" s="6" t="s">
        <v>190</v>
      </c>
      <c r="B93" s="7" t="s">
        <v>50</v>
      </c>
      <c r="C93" s="7" t="s">
        <v>60</v>
      </c>
      <c r="D93" s="6" t="s">
        <v>52</v>
      </c>
      <c r="E93" s="6" t="s">
        <v>184</v>
      </c>
      <c r="F93" s="7" t="s">
        <v>189</v>
      </c>
      <c r="G93" s="6" t="s">
        <v>55</v>
      </c>
      <c r="H93" s="6" t="s">
        <v>58</v>
      </c>
      <c r="I93" s="8" t="n">
        <f aca="false">IF(G93="Yes",1,IF(G93="Partial",0.5,0))</f>
        <v>1</v>
      </c>
      <c r="J93" s="8" t="n">
        <f aca="false">IF(H93="Yes",1,IF(H93="Partial",0.5,0))</f>
        <v>0</v>
      </c>
      <c r="K93" s="6" t="n">
        <v>5</v>
      </c>
      <c r="L93" s="6" t="n">
        <v>4</v>
      </c>
      <c r="M93" s="6" t="n">
        <v>4</v>
      </c>
      <c r="N93" s="6" t="n">
        <v>3.3</v>
      </c>
      <c r="O93" s="6" t="n">
        <v>42000</v>
      </c>
      <c r="P93" s="6" t="n">
        <v>32000</v>
      </c>
      <c r="Q93" s="7" t="s">
        <v>61</v>
      </c>
      <c r="R93" s="6" t="n">
        <v>4</v>
      </c>
      <c r="S93" s="6" t="n">
        <v>4</v>
      </c>
      <c r="T93" s="6" t="n">
        <v>4</v>
      </c>
      <c r="U93" s="6" t="n">
        <v>5</v>
      </c>
      <c r="V93" s="6" t="s">
        <v>58</v>
      </c>
      <c r="W93" s="6" t="n">
        <v>2</v>
      </c>
      <c r="X93" s="6" t="n">
        <v>4</v>
      </c>
      <c r="Y93" s="6" t="n">
        <v>15</v>
      </c>
      <c r="Z93" s="6" t="n">
        <f aca="false">(J93-I93)*K93</f>
        <v>-5</v>
      </c>
      <c r="AA93" s="8" t="n">
        <f aca="false">IF(Z93&lt;0,ABS(Z93),0)</f>
        <v>5</v>
      </c>
      <c r="AB93" s="8" t="n">
        <f aca="false">IF(Z93&gt;0,Z93*L93,0)</f>
        <v>0</v>
      </c>
      <c r="AC93" s="8" t="n">
        <f aca="false">O93/P93</f>
        <v>1.3125</v>
      </c>
      <c r="AD93" s="9" t="str">
        <f aca="false">IF(AB93&gt;=15,"High Priority",IF(AB93&gt;=7,"Medium Priority",IF(AB93&gt;0,"Low Priority","Monitor / No Gap")))</f>
        <v>Monitor / No Gap</v>
      </c>
      <c r="AE93" s="10" t="str">
        <f aca="false">IF(AD93="High Priority","Build Immediately - Critical Feature Gap",IF(AD93="Medium Priority","Plan for Next Roadmap Cycle",IF(AD93="Low Priority","Monitor &amp; Reassess Quarterly","No Action - Parity or Competitive Advantage")))</f>
        <v>No Action - Parity or Competitive Advantage</v>
      </c>
    </row>
    <row r="94" customFormat="false" ht="23.85" hidden="false" customHeight="false" outlineLevel="0" collapsed="false">
      <c r="A94" s="6" t="s">
        <v>191</v>
      </c>
      <c r="B94" s="7" t="s">
        <v>50</v>
      </c>
      <c r="C94" s="7" t="s">
        <v>63</v>
      </c>
      <c r="D94" s="6" t="s">
        <v>52</v>
      </c>
      <c r="E94" s="6" t="s">
        <v>184</v>
      </c>
      <c r="F94" s="7" t="s">
        <v>189</v>
      </c>
      <c r="G94" s="6" t="s">
        <v>55</v>
      </c>
      <c r="H94" s="6" t="s">
        <v>55</v>
      </c>
      <c r="I94" s="8" t="n">
        <f aca="false">IF(G94="Yes",1,IF(G94="Partial",0.5,0))</f>
        <v>1</v>
      </c>
      <c r="J94" s="8" t="n">
        <f aca="false">IF(H94="Yes",1,IF(H94="Partial",0.5,0))</f>
        <v>1</v>
      </c>
      <c r="K94" s="6" t="n">
        <v>5</v>
      </c>
      <c r="L94" s="6" t="n">
        <v>4</v>
      </c>
      <c r="M94" s="6" t="n">
        <v>4.1</v>
      </c>
      <c r="N94" s="6" t="n">
        <v>4.3</v>
      </c>
      <c r="O94" s="6" t="n">
        <v>42000</v>
      </c>
      <c r="P94" s="6" t="n">
        <v>47000</v>
      </c>
      <c r="Q94" s="7" t="s">
        <v>64</v>
      </c>
      <c r="R94" s="6" t="n">
        <v>4</v>
      </c>
      <c r="S94" s="6" t="n">
        <v>4</v>
      </c>
      <c r="T94" s="6" t="n">
        <v>4</v>
      </c>
      <c r="U94" s="6" t="n">
        <v>5</v>
      </c>
      <c r="V94" s="6" t="s">
        <v>58</v>
      </c>
      <c r="W94" s="6" t="n">
        <v>2</v>
      </c>
      <c r="X94" s="6" t="n">
        <v>4</v>
      </c>
      <c r="Y94" s="6" t="n">
        <v>18</v>
      </c>
      <c r="Z94" s="6" t="n">
        <f aca="false">(J94-I94)*K94</f>
        <v>0</v>
      </c>
      <c r="AA94" s="8" t="n">
        <f aca="false">IF(Z94&lt;0,ABS(Z94),0)</f>
        <v>0</v>
      </c>
      <c r="AB94" s="8" t="n">
        <f aca="false">IF(Z94&gt;0,Z94*L94,0)</f>
        <v>0</v>
      </c>
      <c r="AC94" s="8" t="n">
        <f aca="false">O94/P94</f>
        <v>0.893617021276596</v>
      </c>
      <c r="AD94" s="9" t="str">
        <f aca="false">IF(AB94&gt;=15,"High Priority",IF(AB94&gt;=7,"Medium Priority",IF(AB94&gt;0,"Low Priority","Monitor / No Gap")))</f>
        <v>Monitor / No Gap</v>
      </c>
      <c r="AE94" s="10" t="str">
        <f aca="false">IF(AD94="High Priority","Build Immediately - Critical Feature Gap",IF(AD94="Medium Priority","Plan for Next Roadmap Cycle",IF(AD94="Low Priority","Monitor &amp; Reassess Quarterly","No Action - Parity or Competitive Advantage")))</f>
        <v>No Action - Parity or Competitive Advantage</v>
      </c>
    </row>
    <row r="95" customFormat="false" ht="23.85" hidden="false" customHeight="false" outlineLevel="0" collapsed="false">
      <c r="A95" s="6" t="s">
        <v>192</v>
      </c>
      <c r="B95" s="7" t="s">
        <v>50</v>
      </c>
      <c r="C95" s="7" t="s">
        <v>51</v>
      </c>
      <c r="D95" s="6" t="s">
        <v>52</v>
      </c>
      <c r="E95" s="6" t="s">
        <v>184</v>
      </c>
      <c r="F95" s="7" t="s">
        <v>193</v>
      </c>
      <c r="G95" s="6" t="s">
        <v>55</v>
      </c>
      <c r="H95" s="6" t="s">
        <v>56</v>
      </c>
      <c r="I95" s="8" t="n">
        <f aca="false">IF(G95="Yes",1,IF(G95="Partial",0.5,0))</f>
        <v>1</v>
      </c>
      <c r="J95" s="8" t="n">
        <f aca="false">IF(H95="Yes",1,IF(H95="Partial",0.5,0))</f>
        <v>0.5</v>
      </c>
      <c r="K95" s="6" t="n">
        <v>3</v>
      </c>
      <c r="L95" s="6" t="n">
        <v>3</v>
      </c>
      <c r="M95" s="6" t="n">
        <v>4</v>
      </c>
      <c r="N95" s="6" t="n">
        <v>4.3</v>
      </c>
      <c r="O95" s="6" t="n">
        <v>42000</v>
      </c>
      <c r="P95" s="6" t="n">
        <v>58000</v>
      </c>
      <c r="Q95" s="7" t="s">
        <v>57</v>
      </c>
      <c r="R95" s="6" t="n">
        <v>4</v>
      </c>
      <c r="S95" s="6" t="n">
        <v>4</v>
      </c>
      <c r="T95" s="6" t="n">
        <v>4</v>
      </c>
      <c r="U95" s="6" t="n">
        <v>5</v>
      </c>
      <c r="V95" s="6" t="s">
        <v>58</v>
      </c>
      <c r="W95" s="6" t="n">
        <v>2</v>
      </c>
      <c r="X95" s="6" t="n">
        <v>4</v>
      </c>
      <c r="Y95" s="6" t="n">
        <v>22</v>
      </c>
      <c r="Z95" s="6" t="n">
        <f aca="false">(J95-I95)*K95</f>
        <v>-1.5</v>
      </c>
      <c r="AA95" s="8" t="n">
        <f aca="false">IF(Z95&lt;0,ABS(Z95),0)</f>
        <v>1.5</v>
      </c>
      <c r="AB95" s="8" t="n">
        <f aca="false">IF(Z95&gt;0,Z95*L95,0)</f>
        <v>0</v>
      </c>
      <c r="AC95" s="8" t="n">
        <f aca="false">O95/P95</f>
        <v>0.724137931034483</v>
      </c>
      <c r="AD95" s="9" t="str">
        <f aca="false">IF(AB95&gt;=15,"High Priority",IF(AB95&gt;=7,"Medium Priority",IF(AB95&gt;0,"Low Priority","Monitor / No Gap")))</f>
        <v>Monitor / No Gap</v>
      </c>
      <c r="AE95" s="10" t="str">
        <f aca="false">IF(AD95="High Priority","Build Immediately - Critical Feature Gap",IF(AD95="Medium Priority","Plan for Next Roadmap Cycle",IF(AD95="Low Priority","Monitor &amp; Reassess Quarterly","No Action - Parity or Competitive Advantage")))</f>
        <v>No Action - Parity or Competitive Advantage</v>
      </c>
    </row>
    <row r="96" customFormat="false" ht="23.85" hidden="false" customHeight="false" outlineLevel="0" collapsed="false">
      <c r="A96" s="6" t="s">
        <v>194</v>
      </c>
      <c r="B96" s="7" t="s">
        <v>50</v>
      </c>
      <c r="C96" s="7" t="s">
        <v>60</v>
      </c>
      <c r="D96" s="6" t="s">
        <v>52</v>
      </c>
      <c r="E96" s="6" t="s">
        <v>184</v>
      </c>
      <c r="F96" s="7" t="s">
        <v>193</v>
      </c>
      <c r="G96" s="6" t="s">
        <v>55</v>
      </c>
      <c r="H96" s="6" t="s">
        <v>58</v>
      </c>
      <c r="I96" s="8" t="n">
        <f aca="false">IF(G96="Yes",1,IF(G96="Partial",0.5,0))</f>
        <v>1</v>
      </c>
      <c r="J96" s="8" t="n">
        <f aca="false">IF(H96="Yes",1,IF(H96="Partial",0.5,0))</f>
        <v>0</v>
      </c>
      <c r="K96" s="6" t="n">
        <v>3</v>
      </c>
      <c r="L96" s="6" t="n">
        <v>3</v>
      </c>
      <c r="M96" s="6" t="n">
        <v>4.1</v>
      </c>
      <c r="N96" s="6" t="n">
        <v>3.3</v>
      </c>
      <c r="O96" s="6" t="n">
        <v>42000</v>
      </c>
      <c r="P96" s="6" t="n">
        <v>32000</v>
      </c>
      <c r="Q96" s="7" t="s">
        <v>61</v>
      </c>
      <c r="R96" s="6" t="n">
        <v>4</v>
      </c>
      <c r="S96" s="6" t="n">
        <v>4</v>
      </c>
      <c r="T96" s="6" t="n">
        <v>4</v>
      </c>
      <c r="U96" s="6" t="n">
        <v>5</v>
      </c>
      <c r="V96" s="6" t="s">
        <v>58</v>
      </c>
      <c r="W96" s="6" t="n">
        <v>2</v>
      </c>
      <c r="X96" s="6" t="n">
        <v>4</v>
      </c>
      <c r="Y96" s="6" t="n">
        <v>15</v>
      </c>
      <c r="Z96" s="6" t="n">
        <f aca="false">(J96-I96)*K96</f>
        <v>-3</v>
      </c>
      <c r="AA96" s="8" t="n">
        <f aca="false">IF(Z96&lt;0,ABS(Z96),0)</f>
        <v>3</v>
      </c>
      <c r="AB96" s="8" t="n">
        <f aca="false">IF(Z96&gt;0,Z96*L96,0)</f>
        <v>0</v>
      </c>
      <c r="AC96" s="8" t="n">
        <f aca="false">O96/P96</f>
        <v>1.3125</v>
      </c>
      <c r="AD96" s="9" t="str">
        <f aca="false">IF(AB96&gt;=15,"High Priority",IF(AB96&gt;=7,"Medium Priority",IF(AB96&gt;0,"Low Priority","Monitor / No Gap")))</f>
        <v>Monitor / No Gap</v>
      </c>
      <c r="AE96" s="10" t="str">
        <f aca="false">IF(AD96="High Priority","Build Immediately - Critical Feature Gap",IF(AD96="Medium Priority","Plan for Next Roadmap Cycle",IF(AD96="Low Priority","Monitor &amp; Reassess Quarterly","No Action - Parity or Competitive Advantage")))</f>
        <v>No Action - Parity or Competitive Advantage</v>
      </c>
    </row>
    <row r="97" customFormat="false" ht="23.85" hidden="false" customHeight="false" outlineLevel="0" collapsed="false">
      <c r="A97" s="6" t="s">
        <v>195</v>
      </c>
      <c r="B97" s="7" t="s">
        <v>50</v>
      </c>
      <c r="C97" s="7" t="s">
        <v>63</v>
      </c>
      <c r="D97" s="6" t="s">
        <v>52</v>
      </c>
      <c r="E97" s="6" t="s">
        <v>184</v>
      </c>
      <c r="F97" s="7" t="s">
        <v>193</v>
      </c>
      <c r="G97" s="6" t="s">
        <v>55</v>
      </c>
      <c r="H97" s="6" t="s">
        <v>56</v>
      </c>
      <c r="I97" s="8" t="n">
        <f aca="false">IF(G97="Yes",1,IF(G97="Partial",0.5,0))</f>
        <v>1</v>
      </c>
      <c r="J97" s="8" t="n">
        <f aca="false">IF(H97="Yes",1,IF(H97="Partial",0.5,0))</f>
        <v>0.5</v>
      </c>
      <c r="K97" s="6" t="n">
        <v>3</v>
      </c>
      <c r="L97" s="6" t="n">
        <v>3</v>
      </c>
      <c r="M97" s="6" t="n">
        <v>4</v>
      </c>
      <c r="N97" s="6" t="n">
        <v>4</v>
      </c>
      <c r="O97" s="6" t="n">
        <v>42000</v>
      </c>
      <c r="P97" s="6" t="n">
        <v>47000</v>
      </c>
      <c r="Q97" s="7" t="s">
        <v>64</v>
      </c>
      <c r="R97" s="6" t="n">
        <v>4</v>
      </c>
      <c r="S97" s="6" t="n">
        <v>4</v>
      </c>
      <c r="T97" s="6" t="n">
        <v>4</v>
      </c>
      <c r="U97" s="6" t="n">
        <v>5</v>
      </c>
      <c r="V97" s="6" t="s">
        <v>58</v>
      </c>
      <c r="W97" s="6" t="n">
        <v>2</v>
      </c>
      <c r="X97" s="6" t="n">
        <v>4</v>
      </c>
      <c r="Y97" s="6" t="n">
        <v>18</v>
      </c>
      <c r="Z97" s="6" t="n">
        <f aca="false">(J97-I97)*K97</f>
        <v>-1.5</v>
      </c>
      <c r="AA97" s="8" t="n">
        <f aca="false">IF(Z97&lt;0,ABS(Z97),0)</f>
        <v>1.5</v>
      </c>
      <c r="AB97" s="8" t="n">
        <f aca="false">IF(Z97&gt;0,Z97*L97,0)</f>
        <v>0</v>
      </c>
      <c r="AC97" s="8" t="n">
        <f aca="false">O97/P97</f>
        <v>0.893617021276596</v>
      </c>
      <c r="AD97" s="9" t="str">
        <f aca="false">IF(AB97&gt;=15,"High Priority",IF(AB97&gt;=7,"Medium Priority",IF(AB97&gt;0,"Low Priority","Monitor / No Gap")))</f>
        <v>Monitor / No Gap</v>
      </c>
      <c r="AE97" s="10" t="str">
        <f aca="false">IF(AD97="High Priority","Build Immediately - Critical Feature Gap",IF(AD97="Medium Priority","Plan for Next Roadmap Cycle",IF(AD97="Low Priority","Monitor &amp; Reassess Quarterly","No Action - Parity or Competitive Advantage")))</f>
        <v>No Action - Parity or Competitive Advantage</v>
      </c>
    </row>
    <row r="98" customFormat="false" ht="23.85" hidden="false" customHeight="false" outlineLevel="0" collapsed="false">
      <c r="A98" s="6" t="s">
        <v>196</v>
      </c>
      <c r="B98" s="7" t="s">
        <v>50</v>
      </c>
      <c r="C98" s="7" t="s">
        <v>51</v>
      </c>
      <c r="D98" s="6" t="s">
        <v>52</v>
      </c>
      <c r="E98" s="6" t="s">
        <v>197</v>
      </c>
      <c r="F98" s="7" t="s">
        <v>198</v>
      </c>
      <c r="G98" s="6" t="s">
        <v>56</v>
      </c>
      <c r="H98" s="6" t="s">
        <v>55</v>
      </c>
      <c r="I98" s="8" t="n">
        <f aca="false">IF(G98="Yes",1,IF(G98="Partial",0.5,0))</f>
        <v>0.5</v>
      </c>
      <c r="J98" s="8" t="n">
        <f aca="false">IF(H98="Yes",1,IF(H98="Partial",0.5,0))</f>
        <v>1</v>
      </c>
      <c r="K98" s="6" t="n">
        <v>4</v>
      </c>
      <c r="L98" s="6" t="n">
        <v>4</v>
      </c>
      <c r="M98" s="6" t="n">
        <v>4</v>
      </c>
      <c r="N98" s="6" t="n">
        <v>4.5</v>
      </c>
      <c r="O98" s="6" t="n">
        <v>42000</v>
      </c>
      <c r="P98" s="6" t="n">
        <v>58000</v>
      </c>
      <c r="Q98" s="7" t="s">
        <v>57</v>
      </c>
      <c r="R98" s="6" t="n">
        <v>4</v>
      </c>
      <c r="S98" s="6" t="n">
        <v>4</v>
      </c>
      <c r="T98" s="6" t="n">
        <v>4</v>
      </c>
      <c r="U98" s="6" t="n">
        <v>5</v>
      </c>
      <c r="V98" s="6" t="s">
        <v>58</v>
      </c>
      <c r="W98" s="6" t="n">
        <v>2</v>
      </c>
      <c r="X98" s="6" t="n">
        <v>4</v>
      </c>
      <c r="Y98" s="6" t="n">
        <v>22</v>
      </c>
      <c r="Z98" s="6" t="n">
        <f aca="false">(J98-I98)*K98</f>
        <v>2</v>
      </c>
      <c r="AA98" s="8" t="n">
        <f aca="false">IF(Z98&lt;0,ABS(Z98),0)</f>
        <v>0</v>
      </c>
      <c r="AB98" s="8" t="n">
        <f aca="false">IF(Z98&gt;0,Z98*L98,0)</f>
        <v>8</v>
      </c>
      <c r="AC98" s="8" t="n">
        <f aca="false">O98/P98</f>
        <v>0.724137931034483</v>
      </c>
      <c r="AD98" s="9" t="str">
        <f aca="false">IF(AB98&gt;=15,"High Priority",IF(AB98&gt;=7,"Medium Priority",IF(AB98&gt;0,"Low Priority","Monitor / No Gap")))</f>
        <v>Medium Priority</v>
      </c>
      <c r="AE98" s="10" t="str">
        <f aca="false">IF(AD98="High Priority","Build Immediately - Critical Feature Gap",IF(AD98="Medium Priority","Plan for Next Roadmap Cycle",IF(AD98="Low Priority","Monitor &amp; Reassess Quarterly","No Action - Parity or Competitive Advantage")))</f>
        <v>Plan for Next Roadmap Cycle</v>
      </c>
    </row>
    <row r="99" customFormat="false" ht="23.85" hidden="false" customHeight="false" outlineLevel="0" collapsed="false">
      <c r="A99" s="6" t="s">
        <v>199</v>
      </c>
      <c r="B99" s="7" t="s">
        <v>50</v>
      </c>
      <c r="C99" s="7" t="s">
        <v>60</v>
      </c>
      <c r="D99" s="6" t="s">
        <v>52</v>
      </c>
      <c r="E99" s="6" t="s">
        <v>197</v>
      </c>
      <c r="F99" s="7" t="s">
        <v>198</v>
      </c>
      <c r="G99" s="6" t="s">
        <v>56</v>
      </c>
      <c r="H99" s="6" t="s">
        <v>58</v>
      </c>
      <c r="I99" s="8" t="n">
        <f aca="false">IF(G99="Yes",1,IF(G99="Partial",0.5,0))</f>
        <v>0.5</v>
      </c>
      <c r="J99" s="8" t="n">
        <f aca="false">IF(H99="Yes",1,IF(H99="Partial",0.5,0))</f>
        <v>0</v>
      </c>
      <c r="K99" s="6" t="n">
        <v>4</v>
      </c>
      <c r="L99" s="6" t="n">
        <v>4</v>
      </c>
      <c r="M99" s="6" t="n">
        <v>4.1</v>
      </c>
      <c r="N99" s="6" t="n">
        <v>3.5</v>
      </c>
      <c r="O99" s="6" t="n">
        <v>42000</v>
      </c>
      <c r="P99" s="6" t="n">
        <v>32000</v>
      </c>
      <c r="Q99" s="7" t="s">
        <v>61</v>
      </c>
      <c r="R99" s="6" t="n">
        <v>4</v>
      </c>
      <c r="S99" s="6" t="n">
        <v>4</v>
      </c>
      <c r="T99" s="6" t="n">
        <v>4</v>
      </c>
      <c r="U99" s="6" t="n">
        <v>5</v>
      </c>
      <c r="V99" s="6" t="s">
        <v>58</v>
      </c>
      <c r="W99" s="6" t="n">
        <v>2</v>
      </c>
      <c r="X99" s="6" t="n">
        <v>4</v>
      </c>
      <c r="Y99" s="6" t="n">
        <v>15</v>
      </c>
      <c r="Z99" s="6" t="n">
        <f aca="false">(J99-I99)*K99</f>
        <v>-2</v>
      </c>
      <c r="AA99" s="8" t="n">
        <f aca="false">IF(Z99&lt;0,ABS(Z99),0)</f>
        <v>2</v>
      </c>
      <c r="AB99" s="8" t="n">
        <f aca="false">IF(Z99&gt;0,Z99*L99,0)</f>
        <v>0</v>
      </c>
      <c r="AC99" s="8" t="n">
        <f aca="false">O99/P99</f>
        <v>1.3125</v>
      </c>
      <c r="AD99" s="9" t="str">
        <f aca="false">IF(AB99&gt;=15,"High Priority",IF(AB99&gt;=7,"Medium Priority",IF(AB99&gt;0,"Low Priority","Monitor / No Gap")))</f>
        <v>Monitor / No Gap</v>
      </c>
      <c r="AE99" s="10" t="str">
        <f aca="false">IF(AD99="High Priority","Build Immediately - Critical Feature Gap",IF(AD99="Medium Priority","Plan for Next Roadmap Cycle",IF(AD99="Low Priority","Monitor &amp; Reassess Quarterly","No Action - Parity or Competitive Advantage")))</f>
        <v>No Action - Parity or Competitive Advantage</v>
      </c>
    </row>
    <row r="100" customFormat="false" ht="23.85" hidden="false" customHeight="false" outlineLevel="0" collapsed="false">
      <c r="A100" s="6" t="s">
        <v>200</v>
      </c>
      <c r="B100" s="7" t="s">
        <v>50</v>
      </c>
      <c r="C100" s="7" t="s">
        <v>63</v>
      </c>
      <c r="D100" s="6" t="s">
        <v>52</v>
      </c>
      <c r="E100" s="6" t="s">
        <v>197</v>
      </c>
      <c r="F100" s="7" t="s">
        <v>198</v>
      </c>
      <c r="G100" s="6" t="s">
        <v>56</v>
      </c>
      <c r="H100" s="6" t="s">
        <v>56</v>
      </c>
      <c r="I100" s="8" t="n">
        <f aca="false">IF(G100="Yes",1,IF(G100="Partial",0.5,0))</f>
        <v>0.5</v>
      </c>
      <c r="J100" s="8" t="n">
        <f aca="false">IF(H100="Yes",1,IF(H100="Partial",0.5,0))</f>
        <v>0.5</v>
      </c>
      <c r="K100" s="6" t="n">
        <v>4</v>
      </c>
      <c r="L100" s="6" t="n">
        <v>4</v>
      </c>
      <c r="M100" s="6" t="n">
        <v>4.1</v>
      </c>
      <c r="N100" s="6" t="n">
        <v>3.9</v>
      </c>
      <c r="O100" s="6" t="n">
        <v>42000</v>
      </c>
      <c r="P100" s="6" t="n">
        <v>47000</v>
      </c>
      <c r="Q100" s="7" t="s">
        <v>64</v>
      </c>
      <c r="R100" s="6" t="n">
        <v>4</v>
      </c>
      <c r="S100" s="6" t="n">
        <v>4</v>
      </c>
      <c r="T100" s="6" t="n">
        <v>4</v>
      </c>
      <c r="U100" s="6" t="n">
        <v>5</v>
      </c>
      <c r="V100" s="6" t="s">
        <v>58</v>
      </c>
      <c r="W100" s="6" t="n">
        <v>2</v>
      </c>
      <c r="X100" s="6" t="n">
        <v>4</v>
      </c>
      <c r="Y100" s="6" t="n">
        <v>18</v>
      </c>
      <c r="Z100" s="6" t="n">
        <f aca="false">(J100-I100)*K100</f>
        <v>0</v>
      </c>
      <c r="AA100" s="8" t="n">
        <f aca="false">IF(Z100&lt;0,ABS(Z100),0)</f>
        <v>0</v>
      </c>
      <c r="AB100" s="8" t="n">
        <f aca="false">IF(Z100&gt;0,Z100*L100,0)</f>
        <v>0</v>
      </c>
      <c r="AC100" s="8" t="n">
        <f aca="false">O100/P100</f>
        <v>0.893617021276596</v>
      </c>
      <c r="AD100" s="9" t="str">
        <f aca="false">IF(AB100&gt;=15,"High Priority",IF(AB100&gt;=7,"Medium Priority",IF(AB100&gt;0,"Low Priority","Monitor / No Gap")))</f>
        <v>Monitor / No Gap</v>
      </c>
      <c r="AE100" s="10" t="str">
        <f aca="false">IF(AD100="High Priority","Build Immediately - Critical Feature Gap",IF(AD100="Medium Priority","Plan for Next Roadmap Cycle",IF(AD100="Low Priority","Monitor &amp; Reassess Quarterly","No Action - Parity or Competitive Advantage")))</f>
        <v>No Action - Parity or Competitive Advantage</v>
      </c>
    </row>
    <row r="101" customFormat="false" ht="23.85" hidden="false" customHeight="false" outlineLevel="0" collapsed="false">
      <c r="A101" s="6" t="s">
        <v>201</v>
      </c>
      <c r="B101" s="7" t="s">
        <v>50</v>
      </c>
      <c r="C101" s="7" t="s">
        <v>51</v>
      </c>
      <c r="D101" s="6" t="s">
        <v>52</v>
      </c>
      <c r="E101" s="6" t="s">
        <v>197</v>
      </c>
      <c r="F101" s="7" t="s">
        <v>202</v>
      </c>
      <c r="G101" s="6" t="s">
        <v>55</v>
      </c>
      <c r="H101" s="6" t="s">
        <v>55</v>
      </c>
      <c r="I101" s="8" t="n">
        <f aca="false">IF(G101="Yes",1,IF(G101="Partial",0.5,0))</f>
        <v>1</v>
      </c>
      <c r="J101" s="8" t="n">
        <f aca="false">IF(H101="Yes",1,IF(H101="Partial",0.5,0))</f>
        <v>1</v>
      </c>
      <c r="K101" s="6" t="n">
        <v>3</v>
      </c>
      <c r="L101" s="6" t="n">
        <v>3</v>
      </c>
      <c r="M101" s="6" t="n">
        <v>4.2</v>
      </c>
      <c r="N101" s="6" t="n">
        <v>4.4</v>
      </c>
      <c r="O101" s="6" t="n">
        <v>42000</v>
      </c>
      <c r="P101" s="6" t="n">
        <v>58000</v>
      </c>
      <c r="Q101" s="7" t="s">
        <v>57</v>
      </c>
      <c r="R101" s="6" t="n">
        <v>4</v>
      </c>
      <c r="S101" s="6" t="n">
        <v>4</v>
      </c>
      <c r="T101" s="6" t="n">
        <v>4</v>
      </c>
      <c r="U101" s="6" t="n">
        <v>5</v>
      </c>
      <c r="V101" s="6" t="s">
        <v>58</v>
      </c>
      <c r="W101" s="6" t="n">
        <v>2</v>
      </c>
      <c r="X101" s="6" t="n">
        <v>4</v>
      </c>
      <c r="Y101" s="6" t="n">
        <v>22</v>
      </c>
      <c r="Z101" s="6" t="n">
        <f aca="false">(J101-I101)*K101</f>
        <v>0</v>
      </c>
      <c r="AA101" s="8" t="n">
        <f aca="false">IF(Z101&lt;0,ABS(Z101),0)</f>
        <v>0</v>
      </c>
      <c r="AB101" s="8" t="n">
        <f aca="false">IF(Z101&gt;0,Z101*L101,0)</f>
        <v>0</v>
      </c>
      <c r="AC101" s="8" t="n">
        <f aca="false">O101/P101</f>
        <v>0.724137931034483</v>
      </c>
      <c r="AD101" s="9" t="str">
        <f aca="false">IF(AB101&gt;=15,"High Priority",IF(AB101&gt;=7,"Medium Priority",IF(AB101&gt;0,"Low Priority","Monitor / No Gap")))</f>
        <v>Monitor / No Gap</v>
      </c>
      <c r="AE101" s="10" t="str">
        <f aca="false">IF(AD101="High Priority","Build Immediately - Critical Feature Gap",IF(AD101="Medium Priority","Plan for Next Roadmap Cycle",IF(AD101="Low Priority","Monitor &amp; Reassess Quarterly","No Action - Parity or Competitive Advantage")))</f>
        <v>No Action - Parity or Competitive Advantage</v>
      </c>
    </row>
    <row r="102" customFormat="false" ht="23.85" hidden="false" customHeight="false" outlineLevel="0" collapsed="false">
      <c r="A102" s="6" t="s">
        <v>203</v>
      </c>
      <c r="B102" s="7" t="s">
        <v>50</v>
      </c>
      <c r="C102" s="7" t="s">
        <v>60</v>
      </c>
      <c r="D102" s="6" t="s">
        <v>52</v>
      </c>
      <c r="E102" s="6" t="s">
        <v>197</v>
      </c>
      <c r="F102" s="7" t="s">
        <v>202</v>
      </c>
      <c r="G102" s="6" t="s">
        <v>55</v>
      </c>
      <c r="H102" s="6" t="s">
        <v>58</v>
      </c>
      <c r="I102" s="8" t="n">
        <f aca="false">IF(G102="Yes",1,IF(G102="Partial",0.5,0))</f>
        <v>1</v>
      </c>
      <c r="J102" s="8" t="n">
        <f aca="false">IF(H102="Yes",1,IF(H102="Partial",0.5,0))</f>
        <v>0</v>
      </c>
      <c r="K102" s="6" t="n">
        <v>3</v>
      </c>
      <c r="L102" s="6" t="n">
        <v>3</v>
      </c>
      <c r="M102" s="6" t="n">
        <v>4.2</v>
      </c>
      <c r="N102" s="6" t="n">
        <v>3.4</v>
      </c>
      <c r="O102" s="6" t="n">
        <v>42000</v>
      </c>
      <c r="P102" s="6" t="n">
        <v>32000</v>
      </c>
      <c r="Q102" s="7" t="s">
        <v>61</v>
      </c>
      <c r="R102" s="6" t="n">
        <v>4</v>
      </c>
      <c r="S102" s="6" t="n">
        <v>4</v>
      </c>
      <c r="T102" s="6" t="n">
        <v>4</v>
      </c>
      <c r="U102" s="6" t="n">
        <v>5</v>
      </c>
      <c r="V102" s="6" t="s">
        <v>58</v>
      </c>
      <c r="W102" s="6" t="n">
        <v>2</v>
      </c>
      <c r="X102" s="6" t="n">
        <v>4</v>
      </c>
      <c r="Y102" s="6" t="n">
        <v>15</v>
      </c>
      <c r="Z102" s="6" t="n">
        <f aca="false">(J102-I102)*K102</f>
        <v>-3</v>
      </c>
      <c r="AA102" s="8" t="n">
        <f aca="false">IF(Z102&lt;0,ABS(Z102),0)</f>
        <v>3</v>
      </c>
      <c r="AB102" s="8" t="n">
        <f aca="false">IF(Z102&gt;0,Z102*L102,0)</f>
        <v>0</v>
      </c>
      <c r="AC102" s="8" t="n">
        <f aca="false">O102/P102</f>
        <v>1.3125</v>
      </c>
      <c r="AD102" s="9" t="str">
        <f aca="false">IF(AB102&gt;=15,"High Priority",IF(AB102&gt;=7,"Medium Priority",IF(AB102&gt;0,"Low Priority","Monitor / No Gap")))</f>
        <v>Monitor / No Gap</v>
      </c>
      <c r="AE102" s="10" t="str">
        <f aca="false">IF(AD102="High Priority","Build Immediately - Critical Feature Gap",IF(AD102="Medium Priority","Plan for Next Roadmap Cycle",IF(AD102="Low Priority","Monitor &amp; Reassess Quarterly","No Action - Parity or Competitive Advantage")))</f>
        <v>No Action - Parity or Competitive Advantage</v>
      </c>
    </row>
    <row r="103" customFormat="false" ht="23.85" hidden="false" customHeight="false" outlineLevel="0" collapsed="false">
      <c r="A103" s="6" t="s">
        <v>204</v>
      </c>
      <c r="B103" s="7" t="s">
        <v>50</v>
      </c>
      <c r="C103" s="7" t="s">
        <v>63</v>
      </c>
      <c r="D103" s="6" t="s">
        <v>52</v>
      </c>
      <c r="E103" s="6" t="s">
        <v>197</v>
      </c>
      <c r="F103" s="7" t="s">
        <v>202</v>
      </c>
      <c r="G103" s="6" t="s">
        <v>55</v>
      </c>
      <c r="H103" s="6" t="s">
        <v>56</v>
      </c>
      <c r="I103" s="8" t="n">
        <f aca="false">IF(G103="Yes",1,IF(G103="Partial",0.5,0))</f>
        <v>1</v>
      </c>
      <c r="J103" s="8" t="n">
        <f aca="false">IF(H103="Yes",1,IF(H103="Partial",0.5,0))</f>
        <v>0.5</v>
      </c>
      <c r="K103" s="6" t="n">
        <v>3</v>
      </c>
      <c r="L103" s="6" t="n">
        <v>3</v>
      </c>
      <c r="M103" s="6" t="n">
        <v>4</v>
      </c>
      <c r="N103" s="6" t="n">
        <v>3.8</v>
      </c>
      <c r="O103" s="6" t="n">
        <v>42000</v>
      </c>
      <c r="P103" s="6" t="n">
        <v>47000</v>
      </c>
      <c r="Q103" s="7" t="s">
        <v>64</v>
      </c>
      <c r="R103" s="6" t="n">
        <v>4</v>
      </c>
      <c r="S103" s="6" t="n">
        <v>4</v>
      </c>
      <c r="T103" s="6" t="n">
        <v>4</v>
      </c>
      <c r="U103" s="6" t="n">
        <v>5</v>
      </c>
      <c r="V103" s="6" t="s">
        <v>58</v>
      </c>
      <c r="W103" s="6" t="n">
        <v>2</v>
      </c>
      <c r="X103" s="6" t="n">
        <v>4</v>
      </c>
      <c r="Y103" s="6" t="n">
        <v>18</v>
      </c>
      <c r="Z103" s="6" t="n">
        <f aca="false">(J103-I103)*K103</f>
        <v>-1.5</v>
      </c>
      <c r="AA103" s="8" t="n">
        <f aca="false">IF(Z103&lt;0,ABS(Z103),0)</f>
        <v>1.5</v>
      </c>
      <c r="AB103" s="8" t="n">
        <f aca="false">IF(Z103&gt;0,Z103*L103,0)</f>
        <v>0</v>
      </c>
      <c r="AC103" s="8" t="n">
        <f aca="false">O103/P103</f>
        <v>0.893617021276596</v>
      </c>
      <c r="AD103" s="9" t="str">
        <f aca="false">IF(AB103&gt;=15,"High Priority",IF(AB103&gt;=7,"Medium Priority",IF(AB103&gt;0,"Low Priority","Monitor / No Gap")))</f>
        <v>Monitor / No Gap</v>
      </c>
      <c r="AE103" s="10" t="str">
        <f aca="false">IF(AD103="High Priority","Build Immediately - Critical Feature Gap",IF(AD103="Medium Priority","Plan for Next Roadmap Cycle",IF(AD103="Low Priority","Monitor &amp; Reassess Quarterly","No Action - Parity or Competitive Advantage")))</f>
        <v>No Action - Parity or Competitive Advantage</v>
      </c>
    </row>
    <row r="104" customFormat="false" ht="23.85" hidden="false" customHeight="false" outlineLevel="0" collapsed="false">
      <c r="A104" s="6" t="s">
        <v>205</v>
      </c>
      <c r="B104" s="7" t="s">
        <v>50</v>
      </c>
      <c r="C104" s="7" t="s">
        <v>51</v>
      </c>
      <c r="D104" s="6" t="s">
        <v>52</v>
      </c>
      <c r="E104" s="6" t="s">
        <v>206</v>
      </c>
      <c r="F104" s="7" t="s">
        <v>207</v>
      </c>
      <c r="G104" s="6" t="s">
        <v>56</v>
      </c>
      <c r="H104" s="6" t="s">
        <v>55</v>
      </c>
      <c r="I104" s="8" t="n">
        <f aca="false">IF(G104="Yes",1,IF(G104="Partial",0.5,0))</f>
        <v>0.5</v>
      </c>
      <c r="J104" s="8" t="n">
        <f aca="false">IF(H104="Yes",1,IF(H104="Partial",0.5,0))</f>
        <v>1</v>
      </c>
      <c r="K104" s="6" t="n">
        <v>3</v>
      </c>
      <c r="L104" s="6" t="n">
        <v>3</v>
      </c>
      <c r="M104" s="6" t="n">
        <v>4.2</v>
      </c>
      <c r="N104" s="6" t="n">
        <v>4.8</v>
      </c>
      <c r="O104" s="6" t="n">
        <v>42000</v>
      </c>
      <c r="P104" s="6" t="n">
        <v>58000</v>
      </c>
      <c r="Q104" s="7" t="s">
        <v>57</v>
      </c>
      <c r="R104" s="6" t="n">
        <v>4</v>
      </c>
      <c r="S104" s="6" t="n">
        <v>4</v>
      </c>
      <c r="T104" s="6" t="n">
        <v>4</v>
      </c>
      <c r="U104" s="6" t="n">
        <v>5</v>
      </c>
      <c r="V104" s="6" t="s">
        <v>58</v>
      </c>
      <c r="W104" s="6" t="n">
        <v>2</v>
      </c>
      <c r="X104" s="6" t="n">
        <v>4</v>
      </c>
      <c r="Y104" s="6" t="n">
        <v>22</v>
      </c>
      <c r="Z104" s="6" t="n">
        <f aca="false">(J104-I104)*K104</f>
        <v>1.5</v>
      </c>
      <c r="AA104" s="8" t="n">
        <f aca="false">IF(Z104&lt;0,ABS(Z104),0)</f>
        <v>0</v>
      </c>
      <c r="AB104" s="8" t="n">
        <f aca="false">IF(Z104&gt;0,Z104*L104,0)</f>
        <v>4.5</v>
      </c>
      <c r="AC104" s="8" t="n">
        <f aca="false">O104/P104</f>
        <v>0.724137931034483</v>
      </c>
      <c r="AD104" s="9" t="str">
        <f aca="false">IF(AB104&gt;=15,"High Priority",IF(AB104&gt;=7,"Medium Priority",IF(AB104&gt;0,"Low Priority","Monitor / No Gap")))</f>
        <v>Low Priority</v>
      </c>
      <c r="AE104" s="10" t="str">
        <f aca="false">IF(AD104="High Priority","Build Immediately - Critical Feature Gap",IF(AD104="Medium Priority","Plan for Next Roadmap Cycle",IF(AD104="Low Priority","Monitor &amp; Reassess Quarterly","No Action - Parity or Competitive Advantage")))</f>
        <v>Monitor &amp; Reassess Quarterly</v>
      </c>
    </row>
    <row r="105" customFormat="false" ht="23.85" hidden="false" customHeight="false" outlineLevel="0" collapsed="false">
      <c r="A105" s="6" t="s">
        <v>208</v>
      </c>
      <c r="B105" s="7" t="s">
        <v>50</v>
      </c>
      <c r="C105" s="7" t="s">
        <v>60</v>
      </c>
      <c r="D105" s="6" t="s">
        <v>52</v>
      </c>
      <c r="E105" s="6" t="s">
        <v>206</v>
      </c>
      <c r="F105" s="7" t="s">
        <v>207</v>
      </c>
      <c r="G105" s="6" t="s">
        <v>56</v>
      </c>
      <c r="H105" s="6" t="s">
        <v>58</v>
      </c>
      <c r="I105" s="8" t="n">
        <f aca="false">IF(G105="Yes",1,IF(G105="Partial",0.5,0))</f>
        <v>0.5</v>
      </c>
      <c r="J105" s="8" t="n">
        <f aca="false">IF(H105="Yes",1,IF(H105="Partial",0.5,0))</f>
        <v>0</v>
      </c>
      <c r="K105" s="6" t="n">
        <v>3</v>
      </c>
      <c r="L105" s="6" t="n">
        <v>3</v>
      </c>
      <c r="M105" s="6" t="n">
        <v>4</v>
      </c>
      <c r="N105" s="6" t="n">
        <v>3.6</v>
      </c>
      <c r="O105" s="6" t="n">
        <v>42000</v>
      </c>
      <c r="P105" s="6" t="n">
        <v>32000</v>
      </c>
      <c r="Q105" s="7" t="s">
        <v>61</v>
      </c>
      <c r="R105" s="6" t="n">
        <v>4</v>
      </c>
      <c r="S105" s="6" t="n">
        <v>4</v>
      </c>
      <c r="T105" s="6" t="n">
        <v>4</v>
      </c>
      <c r="U105" s="6" t="n">
        <v>5</v>
      </c>
      <c r="V105" s="6" t="s">
        <v>58</v>
      </c>
      <c r="W105" s="6" t="n">
        <v>2</v>
      </c>
      <c r="X105" s="6" t="n">
        <v>4</v>
      </c>
      <c r="Y105" s="6" t="n">
        <v>15</v>
      </c>
      <c r="Z105" s="6" t="n">
        <f aca="false">(J105-I105)*K105</f>
        <v>-1.5</v>
      </c>
      <c r="AA105" s="8" t="n">
        <f aca="false">IF(Z105&lt;0,ABS(Z105),0)</f>
        <v>1.5</v>
      </c>
      <c r="AB105" s="8" t="n">
        <f aca="false">IF(Z105&gt;0,Z105*L105,0)</f>
        <v>0</v>
      </c>
      <c r="AC105" s="8" t="n">
        <f aca="false">O105/P105</f>
        <v>1.3125</v>
      </c>
      <c r="AD105" s="9" t="str">
        <f aca="false">IF(AB105&gt;=15,"High Priority",IF(AB105&gt;=7,"Medium Priority",IF(AB105&gt;0,"Low Priority","Monitor / No Gap")))</f>
        <v>Monitor / No Gap</v>
      </c>
      <c r="AE105" s="10" t="str">
        <f aca="false">IF(AD105="High Priority","Build Immediately - Critical Feature Gap",IF(AD105="Medium Priority","Plan for Next Roadmap Cycle",IF(AD105="Low Priority","Monitor &amp; Reassess Quarterly","No Action - Parity or Competitive Advantage")))</f>
        <v>No Action - Parity or Competitive Advantage</v>
      </c>
    </row>
    <row r="106" customFormat="false" ht="23.85" hidden="false" customHeight="false" outlineLevel="0" collapsed="false">
      <c r="A106" s="6" t="s">
        <v>209</v>
      </c>
      <c r="B106" s="7" t="s">
        <v>50</v>
      </c>
      <c r="C106" s="7" t="s">
        <v>63</v>
      </c>
      <c r="D106" s="6" t="s">
        <v>52</v>
      </c>
      <c r="E106" s="6" t="s">
        <v>206</v>
      </c>
      <c r="F106" s="7" t="s">
        <v>207</v>
      </c>
      <c r="G106" s="6" t="s">
        <v>56</v>
      </c>
      <c r="H106" s="6" t="s">
        <v>55</v>
      </c>
      <c r="I106" s="8" t="n">
        <f aca="false">IF(G106="Yes",1,IF(G106="Partial",0.5,0))</f>
        <v>0.5</v>
      </c>
      <c r="J106" s="8" t="n">
        <f aca="false">IF(H106="Yes",1,IF(H106="Partial",0.5,0))</f>
        <v>1</v>
      </c>
      <c r="K106" s="6" t="n">
        <v>3</v>
      </c>
      <c r="L106" s="6" t="n">
        <v>3</v>
      </c>
      <c r="M106" s="6" t="n">
        <v>4.2</v>
      </c>
      <c r="N106" s="6" t="n">
        <v>4.1</v>
      </c>
      <c r="O106" s="6" t="n">
        <v>42000</v>
      </c>
      <c r="P106" s="6" t="n">
        <v>47000</v>
      </c>
      <c r="Q106" s="7" t="s">
        <v>64</v>
      </c>
      <c r="R106" s="6" t="n">
        <v>4</v>
      </c>
      <c r="S106" s="6" t="n">
        <v>4</v>
      </c>
      <c r="T106" s="6" t="n">
        <v>4</v>
      </c>
      <c r="U106" s="6" t="n">
        <v>5</v>
      </c>
      <c r="V106" s="6" t="s">
        <v>58</v>
      </c>
      <c r="W106" s="6" t="n">
        <v>2</v>
      </c>
      <c r="X106" s="6" t="n">
        <v>4</v>
      </c>
      <c r="Y106" s="6" t="n">
        <v>18</v>
      </c>
      <c r="Z106" s="6" t="n">
        <f aca="false">(J106-I106)*K106</f>
        <v>1.5</v>
      </c>
      <c r="AA106" s="8" t="n">
        <f aca="false">IF(Z106&lt;0,ABS(Z106),0)</f>
        <v>0</v>
      </c>
      <c r="AB106" s="8" t="n">
        <f aca="false">IF(Z106&gt;0,Z106*L106,0)</f>
        <v>4.5</v>
      </c>
      <c r="AC106" s="8" t="n">
        <f aca="false">O106/P106</f>
        <v>0.893617021276596</v>
      </c>
      <c r="AD106" s="9" t="str">
        <f aca="false">IF(AB106&gt;=15,"High Priority",IF(AB106&gt;=7,"Medium Priority",IF(AB106&gt;0,"Low Priority","Monitor / No Gap")))</f>
        <v>Low Priority</v>
      </c>
      <c r="AE106" s="10" t="str">
        <f aca="false">IF(AD106="High Priority","Build Immediately - Critical Feature Gap",IF(AD106="Medium Priority","Plan for Next Roadmap Cycle",IF(AD106="Low Priority","Monitor &amp; Reassess Quarterly","No Action - Parity or Competitive Advantage")))</f>
        <v>Monitor &amp; Reassess Quarterly</v>
      </c>
    </row>
  </sheetData>
  <autoFilter ref="A1:AE106"/>
  <conditionalFormatting sqref="AD2:AD106">
    <cfRule type="cellIs" priority="2" operator="equal" aboveAverage="0" equalAverage="0" bottom="0" percent="0" rank="0" text="" dxfId="8">
      <formula>"High Priority"</formula>
    </cfRule>
    <cfRule type="cellIs" priority="3" operator="equal" aboveAverage="0" equalAverage="0" bottom="0" percent="0" rank="0" text="" dxfId="9">
      <formula>"Medium Priority"</formula>
    </cfRule>
    <cfRule type="cellIs" priority="4" operator="equal" aboveAverage="0" equalAverage="0" bottom="0" percent="0" rank="0" text="" dxfId="10">
      <formula>"Low Priority"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42"/>
    <col collapsed="false" customWidth="true" hidden="false" outlineLevel="0" max="14" min="14" style="0" width="30"/>
    <col collapsed="false" customWidth="true" hidden="false" outlineLevel="0" max="15" min="15" style="0" width="12"/>
  </cols>
  <sheetData>
    <row r="1" customFormat="false" ht="31.5" hidden="false" customHeight="true" outlineLevel="0" collapsed="false">
      <c r="A1" s="5" t="s">
        <v>23</v>
      </c>
      <c r="B1" s="5" t="s">
        <v>22</v>
      </c>
      <c r="C1" s="5" t="s">
        <v>26</v>
      </c>
      <c r="D1" s="5" t="s">
        <v>210</v>
      </c>
      <c r="E1" s="5" t="s">
        <v>211</v>
      </c>
      <c r="F1" s="5" t="s">
        <v>29</v>
      </c>
      <c r="G1" s="5" t="s">
        <v>212</v>
      </c>
      <c r="H1" s="5" t="s">
        <v>213</v>
      </c>
      <c r="I1" s="5" t="s">
        <v>214</v>
      </c>
      <c r="J1" s="5" t="s">
        <v>45</v>
      </c>
      <c r="K1" s="5" t="s">
        <v>47</v>
      </c>
      <c r="L1" s="5" t="s">
        <v>48</v>
      </c>
      <c r="N1" s="4" t="s">
        <v>215</v>
      </c>
    </row>
    <row r="2" customFormat="false" ht="23.85" hidden="false" customHeight="false" outlineLevel="0" collapsed="false">
      <c r="A2" s="7" t="s">
        <v>54</v>
      </c>
      <c r="B2" s="11" t="str">
        <f aca="false">INDEX(Benchmarking_Data!E:E,MATCH(A2,Benchmarking_Data!F:F,0))</f>
        <v>Core Features</v>
      </c>
      <c r="C2" s="11" t="n">
        <f aca="false">INDEX(Benchmarking_Data!I:I,MATCH(A2,Benchmarking_Data!F:F,0))</f>
        <v>1</v>
      </c>
      <c r="D2" s="11" t="n">
        <f aca="false">_xlfn.MAXIFS(Benchmarking_Data!J:J,Benchmarking_Data!F:F,A2)</f>
        <v>1</v>
      </c>
      <c r="E2" s="11" t="n">
        <f aca="false">INDEX(Benchmarking_Data!K:K,MATCH(A2,Benchmarking_Data!F:F,0))</f>
        <v>5</v>
      </c>
      <c r="F2" s="11" t="n">
        <f aca="false">INDEX(Benchmarking_Data!L:L,MATCH(A2,Benchmarking_Data!F:F,0))</f>
        <v>5</v>
      </c>
      <c r="G2" s="8" t="str">
        <f aca="false">IF(D2&gt;C2,"Gap","No Gap")</f>
        <v>No Gap</v>
      </c>
      <c r="H2" s="8" t="n">
        <f aca="false">(D2-C2)*E2</f>
        <v>0</v>
      </c>
      <c r="I2" s="10" t="str">
        <f aca="false">IF(G2="No Gap","Not Applicable",IF(B2="Core Features","Critical Gap",IF(B2="Advanced Features","Strategic Gap",IF(B2="AI Features","Innovation Gap",IF(B2="Integrations","Integration Gap",IF(B2="Mobile Experience","Customer Experience Gap",IF(B2="Security","Technology Gap",IF(B2="Automation","Technology Gap",IF(B2="Reporting &amp; Analytics","Strategic Gap",IF(B2="Collaboration","Customer Experience Gap","Low-Priority Gap"))))))))))</f>
        <v>Not Applicable</v>
      </c>
      <c r="J2" s="8" t="n">
        <f aca="false">IF(H2&gt;0,H2*F2,0)</f>
        <v>0</v>
      </c>
      <c r="K2" s="9" t="str">
        <f aca="false">IF(G2="No Gap","Monitor / Maintain Lead",IF(J2&gt;=15,"High Priority",IF(J2&gt;=7,"Medium Priority","Low Priority")))</f>
        <v>Monitor / Maintain Lead</v>
      </c>
      <c r="L2" s="10" t="str">
        <f aca="false">IF(K2="High Priority","Build Immediately - Critical Gap (NOW)",IF(K2="Medium Priority","Add to Next Roadmap Cycle (NEXT)",IF(K2="Low Priority","Monitor &amp; Reassess Quarterly (LATER)","Maintain Current Position - Competitive Parity/Advantage")))</f>
        <v>Maintain Current Position - Competitive Parity/Advantage</v>
      </c>
      <c r="N2" s="3" t="s">
        <v>216</v>
      </c>
      <c r="O2" s="12" t="n">
        <f aca="false">COUNTA(A2:A36)</f>
        <v>35</v>
      </c>
    </row>
    <row r="3" customFormat="false" ht="23.85" hidden="false" customHeight="false" outlineLevel="0" collapsed="false">
      <c r="A3" s="7" t="s">
        <v>66</v>
      </c>
      <c r="B3" s="11" t="str">
        <f aca="false">INDEX(Benchmarking_Data!E:E,MATCH(A3,Benchmarking_Data!F:F,0))</f>
        <v>Core Features</v>
      </c>
      <c r="C3" s="11" t="n">
        <f aca="false">INDEX(Benchmarking_Data!I:I,MATCH(A3,Benchmarking_Data!F:F,0))</f>
        <v>1</v>
      </c>
      <c r="D3" s="11" t="n">
        <f aca="false">_xlfn.MAXIFS(Benchmarking_Data!J:J,Benchmarking_Data!F:F,A3)</f>
        <v>1</v>
      </c>
      <c r="E3" s="11" t="n">
        <f aca="false">INDEX(Benchmarking_Data!K:K,MATCH(A3,Benchmarking_Data!F:F,0))</f>
        <v>5</v>
      </c>
      <c r="F3" s="11" t="n">
        <f aca="false">INDEX(Benchmarking_Data!L:L,MATCH(A3,Benchmarking_Data!F:F,0))</f>
        <v>4</v>
      </c>
      <c r="G3" s="8" t="str">
        <f aca="false">IF(D3&gt;C3,"Gap","No Gap")</f>
        <v>No Gap</v>
      </c>
      <c r="H3" s="8" t="n">
        <f aca="false">(D3-C3)*E3</f>
        <v>0</v>
      </c>
      <c r="I3" s="10" t="str">
        <f aca="false">IF(G3="No Gap","Not Applicable",IF(B3="Core Features","Critical Gap",IF(B3="Advanced Features","Strategic Gap",IF(B3="AI Features","Innovation Gap",IF(B3="Integrations","Integration Gap",IF(B3="Mobile Experience","Customer Experience Gap",IF(B3="Security","Technology Gap",IF(B3="Automation","Technology Gap",IF(B3="Reporting &amp; Analytics","Strategic Gap",IF(B3="Collaboration","Customer Experience Gap","Low-Priority Gap"))))))))))</f>
        <v>Not Applicable</v>
      </c>
      <c r="J3" s="8" t="n">
        <f aca="false">IF(H3&gt;0,H3*F3,0)</f>
        <v>0</v>
      </c>
      <c r="K3" s="9" t="str">
        <f aca="false">IF(G3="No Gap","Monitor / Maintain Lead",IF(J3&gt;=15,"High Priority",IF(J3&gt;=7,"Medium Priority","Low Priority")))</f>
        <v>Monitor / Maintain Lead</v>
      </c>
      <c r="L3" s="10" t="str">
        <f aca="false">IF(K3="High Priority","Build Immediately - Critical Gap (NOW)",IF(K3="Medium Priority","Add to Next Roadmap Cycle (NEXT)",IF(K3="Low Priority","Monitor &amp; Reassess Quarterly (LATER)","Maintain Current Position - Competitive Parity/Advantage")))</f>
        <v>Maintain Current Position - Competitive Parity/Advantage</v>
      </c>
      <c r="N3" s="3" t="s">
        <v>217</v>
      </c>
      <c r="O3" s="12" t="n">
        <f aca="false">COUNTIF(K2:K36,"High Priority")</f>
        <v>3</v>
      </c>
    </row>
    <row r="4" customFormat="false" ht="23.85" hidden="false" customHeight="false" outlineLevel="0" collapsed="false">
      <c r="A4" s="7" t="s">
        <v>70</v>
      </c>
      <c r="B4" s="11" t="str">
        <f aca="false">INDEX(Benchmarking_Data!E:E,MATCH(A4,Benchmarking_Data!F:F,0))</f>
        <v>Core Features</v>
      </c>
      <c r="C4" s="11" t="n">
        <f aca="false">INDEX(Benchmarking_Data!I:I,MATCH(A4,Benchmarking_Data!F:F,0))</f>
        <v>1</v>
      </c>
      <c r="D4" s="11" t="n">
        <f aca="false">_xlfn.MAXIFS(Benchmarking_Data!J:J,Benchmarking_Data!F:F,A4)</f>
        <v>0.5</v>
      </c>
      <c r="E4" s="11" t="n">
        <f aca="false">INDEX(Benchmarking_Data!K:K,MATCH(A4,Benchmarking_Data!F:F,0))</f>
        <v>5</v>
      </c>
      <c r="F4" s="11" t="n">
        <f aca="false">INDEX(Benchmarking_Data!L:L,MATCH(A4,Benchmarking_Data!F:F,0))</f>
        <v>5</v>
      </c>
      <c r="G4" s="8" t="str">
        <f aca="false">IF(D4&gt;C4,"Gap","No Gap")</f>
        <v>No Gap</v>
      </c>
      <c r="H4" s="8" t="n">
        <f aca="false">(D4-C4)*E4</f>
        <v>-2.5</v>
      </c>
      <c r="I4" s="10" t="str">
        <f aca="false">IF(G4="No Gap","Not Applicable",IF(B4="Core Features","Critical Gap",IF(B4="Advanced Features","Strategic Gap",IF(B4="AI Features","Innovation Gap",IF(B4="Integrations","Integration Gap",IF(B4="Mobile Experience","Customer Experience Gap",IF(B4="Security","Technology Gap",IF(B4="Automation","Technology Gap",IF(B4="Reporting &amp; Analytics","Strategic Gap",IF(B4="Collaboration","Customer Experience Gap","Low-Priority Gap"))))))))))</f>
        <v>Not Applicable</v>
      </c>
      <c r="J4" s="8" t="n">
        <f aca="false">IF(H4&gt;0,H4*F4,0)</f>
        <v>0</v>
      </c>
      <c r="K4" s="9" t="str">
        <f aca="false">IF(G4="No Gap","Monitor / Maintain Lead",IF(J4&gt;=15,"High Priority",IF(J4&gt;=7,"Medium Priority","Low Priority")))</f>
        <v>Monitor / Maintain Lead</v>
      </c>
      <c r="L4" s="10" t="str">
        <f aca="false">IF(K4="High Priority","Build Immediately - Critical Gap (NOW)",IF(K4="Medium Priority","Add to Next Roadmap Cycle (NEXT)",IF(K4="Low Priority","Monitor &amp; Reassess Quarterly (LATER)","Maintain Current Position - Competitive Parity/Advantage")))</f>
        <v>Maintain Current Position - Competitive Parity/Advantage</v>
      </c>
      <c r="N4" s="3" t="s">
        <v>218</v>
      </c>
      <c r="O4" s="12" t="n">
        <f aca="false">COUNTIF(K2:K36,"Medium Priority")</f>
        <v>6</v>
      </c>
    </row>
    <row r="5" customFormat="false" ht="23.85" hidden="false" customHeight="false" outlineLevel="0" collapsed="false">
      <c r="A5" s="7" t="s">
        <v>74</v>
      </c>
      <c r="B5" s="11" t="str">
        <f aca="false">INDEX(Benchmarking_Data!E:E,MATCH(A5,Benchmarking_Data!F:F,0))</f>
        <v>Core Features</v>
      </c>
      <c r="C5" s="11" t="n">
        <f aca="false">INDEX(Benchmarking_Data!I:I,MATCH(A5,Benchmarking_Data!F:F,0))</f>
        <v>1</v>
      </c>
      <c r="D5" s="11" t="n">
        <f aca="false">_xlfn.MAXIFS(Benchmarking_Data!J:J,Benchmarking_Data!F:F,A5)</f>
        <v>1</v>
      </c>
      <c r="E5" s="11" t="n">
        <f aca="false">INDEX(Benchmarking_Data!K:K,MATCH(A5,Benchmarking_Data!F:F,0))</f>
        <v>5</v>
      </c>
      <c r="F5" s="11" t="n">
        <f aca="false">INDEX(Benchmarking_Data!L:L,MATCH(A5,Benchmarking_Data!F:F,0))</f>
        <v>5</v>
      </c>
      <c r="G5" s="8" t="str">
        <f aca="false">IF(D5&gt;C5,"Gap","No Gap")</f>
        <v>No Gap</v>
      </c>
      <c r="H5" s="8" t="n">
        <f aca="false">(D5-C5)*E5</f>
        <v>0</v>
      </c>
      <c r="I5" s="10" t="str">
        <f aca="false">IF(G5="No Gap","Not Applicable",IF(B5="Core Features","Critical Gap",IF(B5="Advanced Features","Strategic Gap",IF(B5="AI Features","Innovation Gap",IF(B5="Integrations","Integration Gap",IF(B5="Mobile Experience","Customer Experience Gap",IF(B5="Security","Technology Gap",IF(B5="Automation","Technology Gap",IF(B5="Reporting &amp; Analytics","Strategic Gap",IF(B5="Collaboration","Customer Experience Gap","Low-Priority Gap"))))))))))</f>
        <v>Not Applicable</v>
      </c>
      <c r="J5" s="8" t="n">
        <f aca="false">IF(H5&gt;0,H5*F5,0)</f>
        <v>0</v>
      </c>
      <c r="K5" s="9" t="str">
        <f aca="false">IF(G5="No Gap","Monitor / Maintain Lead",IF(J5&gt;=15,"High Priority",IF(J5&gt;=7,"Medium Priority","Low Priority")))</f>
        <v>Monitor / Maintain Lead</v>
      </c>
      <c r="L5" s="10" t="str">
        <f aca="false">IF(K5="High Priority","Build Immediately - Critical Gap (NOW)",IF(K5="Medium Priority","Add to Next Roadmap Cycle (NEXT)",IF(K5="Low Priority","Monitor &amp; Reassess Quarterly (LATER)","Maintain Current Position - Competitive Parity/Advantage")))</f>
        <v>Maintain Current Position - Competitive Parity/Advantage</v>
      </c>
      <c r="N5" s="3" t="s">
        <v>219</v>
      </c>
      <c r="O5" s="12" t="n">
        <f aca="false">COUNTIF(K2:K36,"Low Priority")</f>
        <v>9</v>
      </c>
    </row>
    <row r="6" customFormat="false" ht="23.85" hidden="false" customHeight="false" outlineLevel="0" collapsed="false">
      <c r="A6" s="7" t="s">
        <v>78</v>
      </c>
      <c r="B6" s="11" t="str">
        <f aca="false">INDEX(Benchmarking_Data!E:E,MATCH(A6,Benchmarking_Data!F:F,0))</f>
        <v>Core Features</v>
      </c>
      <c r="C6" s="11" t="n">
        <f aca="false">INDEX(Benchmarking_Data!I:I,MATCH(A6,Benchmarking_Data!F:F,0))</f>
        <v>1</v>
      </c>
      <c r="D6" s="11" t="n">
        <f aca="false">_xlfn.MAXIFS(Benchmarking_Data!J:J,Benchmarking_Data!F:F,A6)</f>
        <v>1</v>
      </c>
      <c r="E6" s="11" t="n">
        <f aca="false">INDEX(Benchmarking_Data!K:K,MATCH(A6,Benchmarking_Data!F:F,0))</f>
        <v>4</v>
      </c>
      <c r="F6" s="11" t="n">
        <f aca="false">INDEX(Benchmarking_Data!L:L,MATCH(A6,Benchmarking_Data!F:F,0))</f>
        <v>4</v>
      </c>
      <c r="G6" s="8" t="str">
        <f aca="false">IF(D6&gt;C6,"Gap","No Gap")</f>
        <v>No Gap</v>
      </c>
      <c r="H6" s="8" t="n">
        <f aca="false">(D6-C6)*E6</f>
        <v>0</v>
      </c>
      <c r="I6" s="10" t="str">
        <f aca="false">IF(G6="No Gap","Not Applicable",IF(B6="Core Features","Critical Gap",IF(B6="Advanced Features","Strategic Gap",IF(B6="AI Features","Innovation Gap",IF(B6="Integrations","Integration Gap",IF(B6="Mobile Experience","Customer Experience Gap",IF(B6="Security","Technology Gap",IF(B6="Automation","Technology Gap",IF(B6="Reporting &amp; Analytics","Strategic Gap",IF(B6="Collaboration","Customer Experience Gap","Low-Priority Gap"))))))))))</f>
        <v>Not Applicable</v>
      </c>
      <c r="J6" s="8" t="n">
        <f aca="false">IF(H6&gt;0,H6*F6,0)</f>
        <v>0</v>
      </c>
      <c r="K6" s="9" t="str">
        <f aca="false">IF(G6="No Gap","Monitor / Maintain Lead",IF(J6&gt;=15,"High Priority",IF(J6&gt;=7,"Medium Priority","Low Priority")))</f>
        <v>Monitor / Maintain Lead</v>
      </c>
      <c r="L6" s="10" t="str">
        <f aca="false">IF(K6="High Priority","Build Immediately - Critical Gap (NOW)",IF(K6="Medium Priority","Add to Next Roadmap Cycle (NEXT)",IF(K6="Low Priority","Monitor &amp; Reassess Quarterly (LATER)","Maintain Current Position - Competitive Parity/Advantage")))</f>
        <v>Maintain Current Position - Competitive Parity/Advantage</v>
      </c>
      <c r="N6" s="3" t="s">
        <v>220</v>
      </c>
      <c r="O6" s="12" t="n">
        <f aca="false">COUNTIF(G2:G36,"No Gap")</f>
        <v>17</v>
      </c>
    </row>
    <row r="7" customFormat="false" ht="15" hidden="false" customHeight="false" outlineLevel="0" collapsed="false">
      <c r="A7" s="7" t="s">
        <v>82</v>
      </c>
      <c r="B7" s="11" t="str">
        <f aca="false">INDEX(Benchmarking_Data!E:E,MATCH(A7,Benchmarking_Data!F:F,0))</f>
        <v>Core Features</v>
      </c>
      <c r="C7" s="11" t="n">
        <f aca="false">INDEX(Benchmarking_Data!I:I,MATCH(A7,Benchmarking_Data!F:F,0))</f>
        <v>0.5</v>
      </c>
      <c r="D7" s="11" t="n">
        <f aca="false">_xlfn.MAXIFS(Benchmarking_Data!J:J,Benchmarking_Data!F:F,A7)</f>
        <v>1</v>
      </c>
      <c r="E7" s="11" t="n">
        <f aca="false">INDEX(Benchmarking_Data!K:K,MATCH(A7,Benchmarking_Data!F:F,0))</f>
        <v>4</v>
      </c>
      <c r="F7" s="11" t="n">
        <f aca="false">INDEX(Benchmarking_Data!L:L,MATCH(A7,Benchmarking_Data!F:F,0))</f>
        <v>3</v>
      </c>
      <c r="G7" s="8" t="str">
        <f aca="false">IF(D7&gt;C7,"Gap","No Gap")</f>
        <v>Gap</v>
      </c>
      <c r="H7" s="8" t="n">
        <f aca="false">(D7-C7)*E7</f>
        <v>2</v>
      </c>
      <c r="I7" s="10" t="str">
        <f aca="false">IF(G7="No Gap","Not Applicable",IF(B7="Core Features","Critical Gap",IF(B7="Advanced Features","Strategic Gap",IF(B7="AI Features","Innovation Gap",IF(B7="Integrations","Integration Gap",IF(B7="Mobile Experience","Customer Experience Gap",IF(B7="Security","Technology Gap",IF(B7="Automation","Technology Gap",IF(B7="Reporting &amp; Analytics","Strategic Gap",IF(B7="Collaboration","Customer Experience Gap","Low-Priority Gap"))))))))))</f>
        <v>Critical Gap</v>
      </c>
      <c r="J7" s="8" t="n">
        <f aca="false">IF(H7&gt;0,H7*F7,0)</f>
        <v>6</v>
      </c>
      <c r="K7" s="9" t="str">
        <f aca="false">IF(G7="No Gap","Monitor / Maintain Lead",IF(J7&gt;=15,"High Priority",IF(J7&gt;=7,"Medium Priority","Low Priority")))</f>
        <v>Low Priority</v>
      </c>
      <c r="L7" s="10" t="str">
        <f aca="false">IF(K7="High Priority","Build Immediately - Critical Gap (NOW)",IF(K7="Medium Priority","Add to Next Roadmap Cycle (NEXT)",IF(K7="Low Priority","Monitor &amp; Reassess Quarterly (LATER)","Maintain Current Position - Competitive Parity/Advantage")))</f>
        <v>Monitor &amp; Reassess Quarterly (LATER)</v>
      </c>
      <c r="N7" s="3" t="s">
        <v>221</v>
      </c>
      <c r="O7" s="13" t="n">
        <f aca="false">AVERAGE(C2:C36)</f>
        <v>0.628571428571429</v>
      </c>
    </row>
    <row r="8" customFormat="false" ht="15" hidden="false" customHeight="false" outlineLevel="0" collapsed="false">
      <c r="A8" s="7" t="s">
        <v>86</v>
      </c>
      <c r="B8" s="11" t="str">
        <f aca="false">INDEX(Benchmarking_Data!E:E,MATCH(A8,Benchmarking_Data!F:F,0))</f>
        <v>Core Features</v>
      </c>
      <c r="C8" s="11" t="n">
        <f aca="false">INDEX(Benchmarking_Data!I:I,MATCH(A8,Benchmarking_Data!F:F,0))</f>
        <v>0</v>
      </c>
      <c r="D8" s="11" t="n">
        <f aca="false">_xlfn.MAXIFS(Benchmarking_Data!J:J,Benchmarking_Data!F:F,A8)</f>
        <v>0.5</v>
      </c>
      <c r="E8" s="11" t="n">
        <f aca="false">INDEX(Benchmarking_Data!K:K,MATCH(A8,Benchmarking_Data!F:F,0))</f>
        <v>3</v>
      </c>
      <c r="F8" s="11" t="n">
        <f aca="false">INDEX(Benchmarking_Data!L:L,MATCH(A8,Benchmarking_Data!F:F,0))</f>
        <v>3</v>
      </c>
      <c r="G8" s="8" t="str">
        <f aca="false">IF(D8&gt;C8,"Gap","No Gap")</f>
        <v>Gap</v>
      </c>
      <c r="H8" s="8" t="n">
        <f aca="false">(D8-C8)*E8</f>
        <v>1.5</v>
      </c>
      <c r="I8" s="10" t="str">
        <f aca="false">IF(G8="No Gap","Not Applicable",IF(B8="Core Features","Critical Gap",IF(B8="Advanced Features","Strategic Gap",IF(B8="AI Features","Innovation Gap",IF(B8="Integrations","Integration Gap",IF(B8="Mobile Experience","Customer Experience Gap",IF(B8="Security","Technology Gap",IF(B8="Automation","Technology Gap",IF(B8="Reporting &amp; Analytics","Strategic Gap",IF(B8="Collaboration","Customer Experience Gap","Low-Priority Gap"))))))))))</f>
        <v>Critical Gap</v>
      </c>
      <c r="J8" s="8" t="n">
        <f aca="false">IF(H8&gt;0,H8*F8,0)</f>
        <v>4.5</v>
      </c>
      <c r="K8" s="9" t="str">
        <f aca="false">IF(G8="No Gap","Monitor / Maintain Lead",IF(J8&gt;=15,"High Priority",IF(J8&gt;=7,"Medium Priority","Low Priority")))</f>
        <v>Low Priority</v>
      </c>
      <c r="L8" s="10" t="str">
        <f aca="false">IF(K8="High Priority","Build Immediately - Critical Gap (NOW)",IF(K8="Medium Priority","Add to Next Roadmap Cycle (NEXT)",IF(K8="Low Priority","Monitor &amp; Reassess Quarterly (LATER)","Maintain Current Position - Competitive Parity/Advantage")))</f>
        <v>Monitor &amp; Reassess Quarterly (LATER)</v>
      </c>
    </row>
    <row r="9" customFormat="false" ht="23.85" hidden="false" customHeight="false" outlineLevel="0" collapsed="false">
      <c r="A9" s="7" t="s">
        <v>90</v>
      </c>
      <c r="B9" s="11" t="str">
        <f aca="false">INDEX(Benchmarking_Data!E:E,MATCH(A9,Benchmarking_Data!F:F,0))</f>
        <v>Core Features</v>
      </c>
      <c r="C9" s="11" t="n">
        <f aca="false">INDEX(Benchmarking_Data!I:I,MATCH(A9,Benchmarking_Data!F:F,0))</f>
        <v>1</v>
      </c>
      <c r="D9" s="11" t="n">
        <f aca="false">_xlfn.MAXIFS(Benchmarking_Data!J:J,Benchmarking_Data!F:F,A9)</f>
        <v>1</v>
      </c>
      <c r="E9" s="11" t="n">
        <f aca="false">INDEX(Benchmarking_Data!K:K,MATCH(A9,Benchmarking_Data!F:F,0))</f>
        <v>4</v>
      </c>
      <c r="F9" s="11" t="n">
        <f aca="false">INDEX(Benchmarking_Data!L:L,MATCH(A9,Benchmarking_Data!F:F,0))</f>
        <v>4</v>
      </c>
      <c r="G9" s="8" t="str">
        <f aca="false">IF(D9&gt;C9,"Gap","No Gap")</f>
        <v>No Gap</v>
      </c>
      <c r="H9" s="8" t="n">
        <f aca="false">(D9-C9)*E9</f>
        <v>0</v>
      </c>
      <c r="I9" s="10" t="str">
        <f aca="false">IF(G9="No Gap","Not Applicable",IF(B9="Core Features","Critical Gap",IF(B9="Advanced Features","Strategic Gap",IF(B9="AI Features","Innovation Gap",IF(B9="Integrations","Integration Gap",IF(B9="Mobile Experience","Customer Experience Gap",IF(B9="Security","Technology Gap",IF(B9="Automation","Technology Gap",IF(B9="Reporting &amp; Analytics","Strategic Gap",IF(B9="Collaboration","Customer Experience Gap","Low-Priority Gap"))))))))))</f>
        <v>Not Applicable</v>
      </c>
      <c r="J9" s="8" t="n">
        <f aca="false">IF(H9&gt;0,H9*F9,0)</f>
        <v>0</v>
      </c>
      <c r="K9" s="9" t="str">
        <f aca="false">IF(G9="No Gap","Monitor / Maintain Lead",IF(J9&gt;=15,"High Priority",IF(J9&gt;=7,"Medium Priority","Low Priority")))</f>
        <v>Monitor / Maintain Lead</v>
      </c>
      <c r="L9" s="10" t="str">
        <f aca="false">IF(K9="High Priority","Build Immediately - Critical Gap (NOW)",IF(K9="Medium Priority","Add to Next Roadmap Cycle (NEXT)",IF(K9="Low Priority","Monitor &amp; Reassess Quarterly (LATER)","Maintain Current Position - Competitive Parity/Advantage")))</f>
        <v>Maintain Current Position - Competitive Parity/Advantage</v>
      </c>
    </row>
    <row r="10" customFormat="false" ht="15" hidden="false" customHeight="false" outlineLevel="0" collapsed="false">
      <c r="A10" s="7" t="s">
        <v>95</v>
      </c>
      <c r="B10" s="11" t="str">
        <f aca="false">INDEX(Benchmarking_Data!E:E,MATCH(A10,Benchmarking_Data!F:F,0))</f>
        <v>Advanced Features</v>
      </c>
      <c r="C10" s="11" t="n">
        <f aca="false">INDEX(Benchmarking_Data!I:I,MATCH(A10,Benchmarking_Data!F:F,0))</f>
        <v>0.5</v>
      </c>
      <c r="D10" s="11" t="n">
        <f aca="false">_xlfn.MAXIFS(Benchmarking_Data!J:J,Benchmarking_Data!F:F,A10)</f>
        <v>1</v>
      </c>
      <c r="E10" s="11" t="n">
        <f aca="false">INDEX(Benchmarking_Data!K:K,MATCH(A10,Benchmarking_Data!F:F,0))</f>
        <v>5</v>
      </c>
      <c r="F10" s="11" t="n">
        <f aca="false">INDEX(Benchmarking_Data!L:L,MATCH(A10,Benchmarking_Data!F:F,0))</f>
        <v>5</v>
      </c>
      <c r="G10" s="8" t="str">
        <f aca="false">IF(D10&gt;C10,"Gap","No Gap")</f>
        <v>Gap</v>
      </c>
      <c r="H10" s="8" t="n">
        <f aca="false">(D10-C10)*E10</f>
        <v>2.5</v>
      </c>
      <c r="I10" s="10" t="str">
        <f aca="false">IF(G10="No Gap","Not Applicable",IF(B10="Core Features","Critical Gap",IF(B10="Advanced Features","Strategic Gap",IF(B10="AI Features","Innovation Gap",IF(B10="Integrations","Integration Gap",IF(B10="Mobile Experience","Customer Experience Gap",IF(B10="Security","Technology Gap",IF(B10="Automation","Technology Gap",IF(B10="Reporting &amp; Analytics","Strategic Gap",IF(B10="Collaboration","Customer Experience Gap","Low-Priority Gap"))))))))))</f>
        <v>Strategic Gap</v>
      </c>
      <c r="J10" s="8" t="n">
        <f aca="false">IF(H10&gt;0,H10*F10,0)</f>
        <v>12.5</v>
      </c>
      <c r="K10" s="9" t="str">
        <f aca="false">IF(G10="No Gap","Monitor / Maintain Lead",IF(J10&gt;=15,"High Priority",IF(J10&gt;=7,"Medium Priority","Low Priority")))</f>
        <v>Medium Priority</v>
      </c>
      <c r="L10" s="10" t="str">
        <f aca="false">IF(K10="High Priority","Build Immediately - Critical Gap (NOW)",IF(K10="Medium Priority","Add to Next Roadmap Cycle (NEXT)",IF(K10="Low Priority","Monitor &amp; Reassess Quarterly (LATER)","Maintain Current Position - Competitive Parity/Advantage")))</f>
        <v>Add to Next Roadmap Cycle (NEXT)</v>
      </c>
    </row>
    <row r="11" customFormat="false" ht="23.85" hidden="false" customHeight="false" outlineLevel="0" collapsed="false">
      <c r="A11" s="7" t="s">
        <v>99</v>
      </c>
      <c r="B11" s="11" t="str">
        <f aca="false">INDEX(Benchmarking_Data!E:E,MATCH(A11,Benchmarking_Data!F:F,0))</f>
        <v>Advanced Features</v>
      </c>
      <c r="C11" s="11" t="n">
        <f aca="false">INDEX(Benchmarking_Data!I:I,MATCH(A11,Benchmarking_Data!F:F,0))</f>
        <v>1</v>
      </c>
      <c r="D11" s="11" t="n">
        <f aca="false">_xlfn.MAXIFS(Benchmarking_Data!J:J,Benchmarking_Data!F:F,A11)</f>
        <v>1</v>
      </c>
      <c r="E11" s="11" t="n">
        <f aca="false">INDEX(Benchmarking_Data!K:K,MATCH(A11,Benchmarking_Data!F:F,0))</f>
        <v>4</v>
      </c>
      <c r="F11" s="11" t="n">
        <f aca="false">INDEX(Benchmarking_Data!L:L,MATCH(A11,Benchmarking_Data!F:F,0))</f>
        <v>4</v>
      </c>
      <c r="G11" s="8" t="str">
        <f aca="false">IF(D11&gt;C11,"Gap","No Gap")</f>
        <v>No Gap</v>
      </c>
      <c r="H11" s="8" t="n">
        <f aca="false">(D11-C11)*E11</f>
        <v>0</v>
      </c>
      <c r="I11" s="10" t="str">
        <f aca="false">IF(G11="No Gap","Not Applicable",IF(B11="Core Features","Critical Gap",IF(B11="Advanced Features","Strategic Gap",IF(B11="AI Features","Innovation Gap",IF(B11="Integrations","Integration Gap",IF(B11="Mobile Experience","Customer Experience Gap",IF(B11="Security","Technology Gap",IF(B11="Automation","Technology Gap",IF(B11="Reporting &amp; Analytics","Strategic Gap",IF(B11="Collaboration","Customer Experience Gap","Low-Priority Gap"))))))))))</f>
        <v>Not Applicable</v>
      </c>
      <c r="J11" s="8" t="n">
        <f aca="false">IF(H11&gt;0,H11*F11,0)</f>
        <v>0</v>
      </c>
      <c r="K11" s="9" t="str">
        <f aca="false">IF(G11="No Gap","Monitor / Maintain Lead",IF(J11&gt;=15,"High Priority",IF(J11&gt;=7,"Medium Priority","Low Priority")))</f>
        <v>Monitor / Maintain Lead</v>
      </c>
      <c r="L11" s="10" t="str">
        <f aca="false">IF(K11="High Priority","Build Immediately - Critical Gap (NOW)",IF(K11="Medium Priority","Add to Next Roadmap Cycle (NEXT)",IF(K11="Low Priority","Monitor &amp; Reassess Quarterly (LATER)","Maintain Current Position - Competitive Parity/Advantage")))</f>
        <v>Maintain Current Position - Competitive Parity/Advantage</v>
      </c>
    </row>
    <row r="12" customFormat="false" ht="15" hidden="false" customHeight="false" outlineLevel="0" collapsed="false">
      <c r="A12" s="7" t="s">
        <v>103</v>
      </c>
      <c r="B12" s="11" t="str">
        <f aca="false">INDEX(Benchmarking_Data!E:E,MATCH(A12,Benchmarking_Data!F:F,0))</f>
        <v>Advanced Features</v>
      </c>
      <c r="C12" s="11" t="n">
        <f aca="false">INDEX(Benchmarking_Data!I:I,MATCH(A12,Benchmarking_Data!F:F,0))</f>
        <v>0.5</v>
      </c>
      <c r="D12" s="11" t="n">
        <f aca="false">_xlfn.MAXIFS(Benchmarking_Data!J:J,Benchmarking_Data!F:F,A12)</f>
        <v>1</v>
      </c>
      <c r="E12" s="11" t="n">
        <f aca="false">INDEX(Benchmarking_Data!K:K,MATCH(A12,Benchmarking_Data!F:F,0))</f>
        <v>4</v>
      </c>
      <c r="F12" s="11" t="n">
        <f aca="false">INDEX(Benchmarking_Data!L:L,MATCH(A12,Benchmarking_Data!F:F,0))</f>
        <v>3</v>
      </c>
      <c r="G12" s="8" t="str">
        <f aca="false">IF(D12&gt;C12,"Gap","No Gap")</f>
        <v>Gap</v>
      </c>
      <c r="H12" s="8" t="n">
        <f aca="false">(D12-C12)*E12</f>
        <v>2</v>
      </c>
      <c r="I12" s="10" t="str">
        <f aca="false">IF(G12="No Gap","Not Applicable",IF(B12="Core Features","Critical Gap",IF(B12="Advanced Features","Strategic Gap",IF(B12="AI Features","Innovation Gap",IF(B12="Integrations","Integration Gap",IF(B12="Mobile Experience","Customer Experience Gap",IF(B12="Security","Technology Gap",IF(B12="Automation","Technology Gap",IF(B12="Reporting &amp; Analytics","Strategic Gap",IF(B12="Collaboration","Customer Experience Gap","Low-Priority Gap"))))))))))</f>
        <v>Strategic Gap</v>
      </c>
      <c r="J12" s="8" t="n">
        <f aca="false">IF(H12&gt;0,H12*F12,0)</f>
        <v>6</v>
      </c>
      <c r="K12" s="9" t="str">
        <f aca="false">IF(G12="No Gap","Monitor / Maintain Lead",IF(J12&gt;=15,"High Priority",IF(J12&gt;=7,"Medium Priority","Low Priority")))</f>
        <v>Low Priority</v>
      </c>
      <c r="L12" s="10" t="str">
        <f aca="false">IF(K12="High Priority","Build Immediately - Critical Gap (NOW)",IF(K12="Medium Priority","Add to Next Roadmap Cycle (NEXT)",IF(K12="Low Priority","Monitor &amp; Reassess Quarterly (LATER)","Maintain Current Position - Competitive Parity/Advantage")))</f>
        <v>Monitor &amp; Reassess Quarterly (LATER)</v>
      </c>
    </row>
    <row r="13" customFormat="false" ht="15" hidden="false" customHeight="false" outlineLevel="0" collapsed="false">
      <c r="A13" s="7" t="s">
        <v>107</v>
      </c>
      <c r="B13" s="11" t="str">
        <f aca="false">INDEX(Benchmarking_Data!E:E,MATCH(A13,Benchmarking_Data!F:F,0))</f>
        <v>Advanced Features</v>
      </c>
      <c r="C13" s="11" t="n">
        <f aca="false">INDEX(Benchmarking_Data!I:I,MATCH(A13,Benchmarking_Data!F:F,0))</f>
        <v>0</v>
      </c>
      <c r="D13" s="11" t="n">
        <f aca="false">_xlfn.MAXIFS(Benchmarking_Data!J:J,Benchmarking_Data!F:F,A13)</f>
        <v>0.5</v>
      </c>
      <c r="E13" s="11" t="n">
        <f aca="false">INDEX(Benchmarking_Data!K:K,MATCH(A13,Benchmarking_Data!F:F,0))</f>
        <v>3</v>
      </c>
      <c r="F13" s="11" t="n">
        <f aca="false">INDEX(Benchmarking_Data!L:L,MATCH(A13,Benchmarking_Data!F:F,0))</f>
        <v>3</v>
      </c>
      <c r="G13" s="8" t="str">
        <f aca="false">IF(D13&gt;C13,"Gap","No Gap")</f>
        <v>Gap</v>
      </c>
      <c r="H13" s="8" t="n">
        <f aca="false">(D13-C13)*E13</f>
        <v>1.5</v>
      </c>
      <c r="I13" s="10" t="str">
        <f aca="false">IF(G13="No Gap","Not Applicable",IF(B13="Core Features","Critical Gap",IF(B13="Advanced Features","Strategic Gap",IF(B13="AI Features","Innovation Gap",IF(B13="Integrations","Integration Gap",IF(B13="Mobile Experience","Customer Experience Gap",IF(B13="Security","Technology Gap",IF(B13="Automation","Technology Gap",IF(B13="Reporting &amp; Analytics","Strategic Gap",IF(B13="Collaboration","Customer Experience Gap","Low-Priority Gap"))))))))))</f>
        <v>Strategic Gap</v>
      </c>
      <c r="J13" s="8" t="n">
        <f aca="false">IF(H13&gt;0,H13*F13,0)</f>
        <v>4.5</v>
      </c>
      <c r="K13" s="9" t="str">
        <f aca="false">IF(G13="No Gap","Monitor / Maintain Lead",IF(J13&gt;=15,"High Priority",IF(J13&gt;=7,"Medium Priority","Low Priority")))</f>
        <v>Low Priority</v>
      </c>
      <c r="L13" s="10" t="str">
        <f aca="false">IF(K13="High Priority","Build Immediately - Critical Gap (NOW)",IF(K13="Medium Priority","Add to Next Roadmap Cycle (NEXT)",IF(K13="Low Priority","Monitor &amp; Reassess Quarterly (LATER)","Maintain Current Position - Competitive Parity/Advantage")))</f>
        <v>Monitor &amp; Reassess Quarterly (LATER)</v>
      </c>
    </row>
    <row r="14" customFormat="false" ht="15" hidden="false" customHeight="false" outlineLevel="0" collapsed="false">
      <c r="A14" s="7" t="s">
        <v>111</v>
      </c>
      <c r="B14" s="11" t="str">
        <f aca="false">INDEX(Benchmarking_Data!E:E,MATCH(A14,Benchmarking_Data!F:F,0))</f>
        <v>Advanced Features</v>
      </c>
      <c r="C14" s="11" t="n">
        <f aca="false">INDEX(Benchmarking_Data!I:I,MATCH(A14,Benchmarking_Data!F:F,0))</f>
        <v>0</v>
      </c>
      <c r="D14" s="11" t="n">
        <f aca="false">_xlfn.MAXIFS(Benchmarking_Data!J:J,Benchmarking_Data!F:F,A14)</f>
        <v>1</v>
      </c>
      <c r="E14" s="11" t="n">
        <f aca="false">INDEX(Benchmarking_Data!K:K,MATCH(A14,Benchmarking_Data!F:F,0))</f>
        <v>3</v>
      </c>
      <c r="F14" s="11" t="n">
        <f aca="false">INDEX(Benchmarking_Data!L:L,MATCH(A14,Benchmarking_Data!F:F,0))</f>
        <v>2</v>
      </c>
      <c r="G14" s="8" t="str">
        <f aca="false">IF(D14&gt;C14,"Gap","No Gap")</f>
        <v>Gap</v>
      </c>
      <c r="H14" s="8" t="n">
        <f aca="false">(D14-C14)*E14</f>
        <v>3</v>
      </c>
      <c r="I14" s="10" t="str">
        <f aca="false">IF(G14="No Gap","Not Applicable",IF(B14="Core Features","Critical Gap",IF(B14="Advanced Features","Strategic Gap",IF(B14="AI Features","Innovation Gap",IF(B14="Integrations","Integration Gap",IF(B14="Mobile Experience","Customer Experience Gap",IF(B14="Security","Technology Gap",IF(B14="Automation","Technology Gap",IF(B14="Reporting &amp; Analytics","Strategic Gap",IF(B14="Collaboration","Customer Experience Gap","Low-Priority Gap"))))))))))</f>
        <v>Strategic Gap</v>
      </c>
      <c r="J14" s="8" t="n">
        <f aca="false">IF(H14&gt;0,H14*F14,0)</f>
        <v>6</v>
      </c>
      <c r="K14" s="9" t="str">
        <f aca="false">IF(G14="No Gap","Monitor / Maintain Lead",IF(J14&gt;=15,"High Priority",IF(J14&gt;=7,"Medium Priority","Low Priority")))</f>
        <v>Low Priority</v>
      </c>
      <c r="L14" s="10" t="str">
        <f aca="false">IF(K14="High Priority","Build Immediately - Critical Gap (NOW)",IF(K14="Medium Priority","Add to Next Roadmap Cycle (NEXT)",IF(K14="Low Priority","Monitor &amp; Reassess Quarterly (LATER)","Maintain Current Position - Competitive Parity/Advantage")))</f>
        <v>Monitor &amp; Reassess Quarterly (LATER)</v>
      </c>
    </row>
    <row r="15" customFormat="false" ht="15" hidden="false" customHeight="false" outlineLevel="0" collapsed="false">
      <c r="A15" s="7" t="s">
        <v>116</v>
      </c>
      <c r="B15" s="11" t="str">
        <f aca="false">INDEX(Benchmarking_Data!E:E,MATCH(A15,Benchmarking_Data!F:F,0))</f>
        <v>AI Features</v>
      </c>
      <c r="C15" s="11" t="n">
        <f aca="false">INDEX(Benchmarking_Data!I:I,MATCH(A15,Benchmarking_Data!F:F,0))</f>
        <v>0</v>
      </c>
      <c r="D15" s="11" t="n">
        <f aca="false">_xlfn.MAXIFS(Benchmarking_Data!J:J,Benchmarking_Data!F:F,A15)</f>
        <v>1</v>
      </c>
      <c r="E15" s="11" t="n">
        <f aca="false">INDEX(Benchmarking_Data!K:K,MATCH(A15,Benchmarking_Data!F:F,0))</f>
        <v>5</v>
      </c>
      <c r="F15" s="11" t="n">
        <f aca="false">INDEX(Benchmarking_Data!L:L,MATCH(A15,Benchmarking_Data!F:F,0))</f>
        <v>4</v>
      </c>
      <c r="G15" s="8" t="str">
        <f aca="false">IF(D15&gt;C15,"Gap","No Gap")</f>
        <v>Gap</v>
      </c>
      <c r="H15" s="8" t="n">
        <f aca="false">(D15-C15)*E15</f>
        <v>5</v>
      </c>
      <c r="I15" s="10" t="str">
        <f aca="false">IF(G15="No Gap","Not Applicable",IF(B15="Core Features","Critical Gap",IF(B15="Advanced Features","Strategic Gap",IF(B15="AI Features","Innovation Gap",IF(B15="Integrations","Integration Gap",IF(B15="Mobile Experience","Customer Experience Gap",IF(B15="Security","Technology Gap",IF(B15="Automation","Technology Gap",IF(B15="Reporting &amp; Analytics","Strategic Gap",IF(B15="Collaboration","Customer Experience Gap","Low-Priority Gap"))))))))))</f>
        <v>Innovation Gap</v>
      </c>
      <c r="J15" s="8" t="n">
        <f aca="false">IF(H15&gt;0,H15*F15,0)</f>
        <v>20</v>
      </c>
      <c r="K15" s="9" t="str">
        <f aca="false">IF(G15="No Gap","Monitor / Maintain Lead",IF(J15&gt;=15,"High Priority",IF(J15&gt;=7,"Medium Priority","Low Priority")))</f>
        <v>High Priority</v>
      </c>
      <c r="L15" s="10" t="str">
        <f aca="false">IF(K15="High Priority","Build Immediately - Critical Gap (NOW)",IF(K15="Medium Priority","Add to Next Roadmap Cycle (NEXT)",IF(K15="Low Priority","Monitor &amp; Reassess Quarterly (LATER)","Maintain Current Position - Competitive Parity/Advantage")))</f>
        <v>Build Immediately - Critical Gap (NOW)</v>
      </c>
    </row>
    <row r="16" customFormat="false" ht="15" hidden="false" customHeight="false" outlineLevel="0" collapsed="false">
      <c r="A16" s="7" t="s">
        <v>120</v>
      </c>
      <c r="B16" s="11" t="str">
        <f aca="false">INDEX(Benchmarking_Data!E:E,MATCH(A16,Benchmarking_Data!F:F,0))</f>
        <v>AI Features</v>
      </c>
      <c r="C16" s="11" t="n">
        <f aca="false">INDEX(Benchmarking_Data!I:I,MATCH(A16,Benchmarking_Data!F:F,0))</f>
        <v>0</v>
      </c>
      <c r="D16" s="11" t="n">
        <f aca="false">_xlfn.MAXIFS(Benchmarking_Data!J:J,Benchmarking_Data!F:F,A16)</f>
        <v>1</v>
      </c>
      <c r="E16" s="11" t="n">
        <f aca="false">INDEX(Benchmarking_Data!K:K,MATCH(A16,Benchmarking_Data!F:F,0))</f>
        <v>3</v>
      </c>
      <c r="F16" s="11" t="n">
        <f aca="false">INDEX(Benchmarking_Data!L:L,MATCH(A16,Benchmarking_Data!F:F,0))</f>
        <v>3</v>
      </c>
      <c r="G16" s="8" t="str">
        <f aca="false">IF(D16&gt;C16,"Gap","No Gap")</f>
        <v>Gap</v>
      </c>
      <c r="H16" s="8" t="n">
        <f aca="false">(D16-C16)*E16</f>
        <v>3</v>
      </c>
      <c r="I16" s="10" t="str">
        <f aca="false">IF(G16="No Gap","Not Applicable",IF(B16="Core Features","Critical Gap",IF(B16="Advanced Features","Strategic Gap",IF(B16="AI Features","Innovation Gap",IF(B16="Integrations","Integration Gap",IF(B16="Mobile Experience","Customer Experience Gap",IF(B16="Security","Technology Gap",IF(B16="Automation","Technology Gap",IF(B16="Reporting &amp; Analytics","Strategic Gap",IF(B16="Collaboration","Customer Experience Gap","Low-Priority Gap"))))))))))</f>
        <v>Innovation Gap</v>
      </c>
      <c r="J16" s="8" t="n">
        <f aca="false">IF(H16&gt;0,H16*F16,0)</f>
        <v>9</v>
      </c>
      <c r="K16" s="9" t="str">
        <f aca="false">IF(G16="No Gap","Monitor / Maintain Lead",IF(J16&gt;=15,"High Priority",IF(J16&gt;=7,"Medium Priority","Low Priority")))</f>
        <v>Medium Priority</v>
      </c>
      <c r="L16" s="10" t="str">
        <f aca="false">IF(K16="High Priority","Build Immediately - Critical Gap (NOW)",IF(K16="Medium Priority","Add to Next Roadmap Cycle (NEXT)",IF(K16="Low Priority","Monitor &amp; Reassess Quarterly (LATER)","Maintain Current Position - Competitive Parity/Advantage")))</f>
        <v>Add to Next Roadmap Cycle (NEXT)</v>
      </c>
    </row>
    <row r="17" customFormat="false" ht="15" hidden="false" customHeight="false" outlineLevel="0" collapsed="false">
      <c r="A17" s="7" t="s">
        <v>124</v>
      </c>
      <c r="B17" s="11" t="str">
        <f aca="false">INDEX(Benchmarking_Data!E:E,MATCH(A17,Benchmarking_Data!F:F,0))</f>
        <v>AI Features</v>
      </c>
      <c r="C17" s="11" t="n">
        <f aca="false">INDEX(Benchmarking_Data!I:I,MATCH(A17,Benchmarking_Data!F:F,0))</f>
        <v>0.5</v>
      </c>
      <c r="D17" s="11" t="n">
        <f aca="false">_xlfn.MAXIFS(Benchmarking_Data!J:J,Benchmarking_Data!F:F,A17)</f>
        <v>1</v>
      </c>
      <c r="E17" s="11" t="n">
        <f aca="false">INDEX(Benchmarking_Data!K:K,MATCH(A17,Benchmarking_Data!F:F,0))</f>
        <v>4</v>
      </c>
      <c r="F17" s="11" t="n">
        <f aca="false">INDEX(Benchmarking_Data!L:L,MATCH(A17,Benchmarking_Data!F:F,0))</f>
        <v>3</v>
      </c>
      <c r="G17" s="8" t="str">
        <f aca="false">IF(D17&gt;C17,"Gap","No Gap")</f>
        <v>Gap</v>
      </c>
      <c r="H17" s="8" t="n">
        <f aca="false">(D17-C17)*E17</f>
        <v>2</v>
      </c>
      <c r="I17" s="10" t="str">
        <f aca="false">IF(G17="No Gap","Not Applicable",IF(B17="Core Features","Critical Gap",IF(B17="Advanced Features","Strategic Gap",IF(B17="AI Features","Innovation Gap",IF(B17="Integrations","Integration Gap",IF(B17="Mobile Experience","Customer Experience Gap",IF(B17="Security","Technology Gap",IF(B17="Automation","Technology Gap",IF(B17="Reporting &amp; Analytics","Strategic Gap",IF(B17="Collaboration","Customer Experience Gap","Low-Priority Gap"))))))))))</f>
        <v>Innovation Gap</v>
      </c>
      <c r="J17" s="8" t="n">
        <f aca="false">IF(H17&gt;0,H17*F17,0)</f>
        <v>6</v>
      </c>
      <c r="K17" s="9" t="str">
        <f aca="false">IF(G17="No Gap","Monitor / Maintain Lead",IF(J17&gt;=15,"High Priority",IF(J17&gt;=7,"Medium Priority","Low Priority")))</f>
        <v>Low Priority</v>
      </c>
      <c r="L17" s="10" t="str">
        <f aca="false">IF(K17="High Priority","Build Immediately - Critical Gap (NOW)",IF(K17="Medium Priority","Add to Next Roadmap Cycle (NEXT)",IF(K17="Low Priority","Monitor &amp; Reassess Quarterly (LATER)","Maintain Current Position - Competitive Parity/Advantage")))</f>
        <v>Monitor &amp; Reassess Quarterly (LATER)</v>
      </c>
    </row>
    <row r="18" customFormat="false" ht="15" hidden="false" customHeight="false" outlineLevel="0" collapsed="false">
      <c r="A18" s="7" t="s">
        <v>128</v>
      </c>
      <c r="B18" s="11" t="str">
        <f aca="false">INDEX(Benchmarking_Data!E:E,MATCH(A18,Benchmarking_Data!F:F,0))</f>
        <v>AI Features</v>
      </c>
      <c r="C18" s="11" t="n">
        <f aca="false">INDEX(Benchmarking_Data!I:I,MATCH(A18,Benchmarking_Data!F:F,0))</f>
        <v>0</v>
      </c>
      <c r="D18" s="11" t="n">
        <f aca="false">_xlfn.MAXIFS(Benchmarking_Data!J:J,Benchmarking_Data!F:F,A18)</f>
        <v>1</v>
      </c>
      <c r="E18" s="11" t="n">
        <f aca="false">INDEX(Benchmarking_Data!K:K,MATCH(A18,Benchmarking_Data!F:F,0))</f>
        <v>4</v>
      </c>
      <c r="F18" s="11" t="n">
        <f aca="false">INDEX(Benchmarking_Data!L:L,MATCH(A18,Benchmarking_Data!F:F,0))</f>
        <v>4</v>
      </c>
      <c r="G18" s="8" t="str">
        <f aca="false">IF(D18&gt;C18,"Gap","No Gap")</f>
        <v>Gap</v>
      </c>
      <c r="H18" s="8" t="n">
        <f aca="false">(D18-C18)*E18</f>
        <v>4</v>
      </c>
      <c r="I18" s="10" t="str">
        <f aca="false">IF(G18="No Gap","Not Applicable",IF(B18="Core Features","Critical Gap",IF(B18="Advanced Features","Strategic Gap",IF(B18="AI Features","Innovation Gap",IF(B18="Integrations","Integration Gap",IF(B18="Mobile Experience","Customer Experience Gap",IF(B18="Security","Technology Gap",IF(B18="Automation","Technology Gap",IF(B18="Reporting &amp; Analytics","Strategic Gap",IF(B18="Collaboration","Customer Experience Gap","Low-Priority Gap"))))))))))</f>
        <v>Innovation Gap</v>
      </c>
      <c r="J18" s="8" t="n">
        <f aca="false">IF(H18&gt;0,H18*F18,0)</f>
        <v>16</v>
      </c>
      <c r="K18" s="9" t="str">
        <f aca="false">IF(G18="No Gap","Monitor / Maintain Lead",IF(J18&gt;=15,"High Priority",IF(J18&gt;=7,"Medium Priority","Low Priority")))</f>
        <v>High Priority</v>
      </c>
      <c r="L18" s="10" t="str">
        <f aca="false">IF(K18="High Priority","Build Immediately - Critical Gap (NOW)",IF(K18="Medium Priority","Add to Next Roadmap Cycle (NEXT)",IF(K18="Low Priority","Monitor &amp; Reassess Quarterly (LATER)","Maintain Current Position - Competitive Parity/Advantage")))</f>
        <v>Build Immediately - Critical Gap (NOW)</v>
      </c>
    </row>
    <row r="19" customFormat="false" ht="23.85" hidden="false" customHeight="false" outlineLevel="0" collapsed="false">
      <c r="A19" s="7" t="s">
        <v>133</v>
      </c>
      <c r="B19" s="11" t="str">
        <f aca="false">INDEX(Benchmarking_Data!E:E,MATCH(A19,Benchmarking_Data!F:F,0))</f>
        <v>Integrations</v>
      </c>
      <c r="C19" s="11" t="n">
        <f aca="false">INDEX(Benchmarking_Data!I:I,MATCH(A19,Benchmarking_Data!F:F,0))</f>
        <v>1</v>
      </c>
      <c r="D19" s="11" t="n">
        <f aca="false">_xlfn.MAXIFS(Benchmarking_Data!J:J,Benchmarking_Data!F:F,A19)</f>
        <v>1</v>
      </c>
      <c r="E19" s="11" t="n">
        <f aca="false">INDEX(Benchmarking_Data!K:K,MATCH(A19,Benchmarking_Data!F:F,0))</f>
        <v>5</v>
      </c>
      <c r="F19" s="11" t="n">
        <f aca="false">INDEX(Benchmarking_Data!L:L,MATCH(A19,Benchmarking_Data!F:F,0))</f>
        <v>4</v>
      </c>
      <c r="G19" s="8" t="str">
        <f aca="false">IF(D19&gt;C19,"Gap","No Gap")</f>
        <v>No Gap</v>
      </c>
      <c r="H19" s="8" t="n">
        <f aca="false">(D19-C19)*E19</f>
        <v>0</v>
      </c>
      <c r="I19" s="10" t="str">
        <f aca="false">IF(G19="No Gap","Not Applicable",IF(B19="Core Features","Critical Gap",IF(B19="Advanced Features","Strategic Gap",IF(B19="AI Features","Innovation Gap",IF(B19="Integrations","Integration Gap",IF(B19="Mobile Experience","Customer Experience Gap",IF(B19="Security","Technology Gap",IF(B19="Automation","Technology Gap",IF(B19="Reporting &amp; Analytics","Strategic Gap",IF(B19="Collaboration","Customer Experience Gap","Low-Priority Gap"))))))))))</f>
        <v>Not Applicable</v>
      </c>
      <c r="J19" s="8" t="n">
        <f aca="false">IF(H19&gt;0,H19*F19,0)</f>
        <v>0</v>
      </c>
      <c r="K19" s="9" t="str">
        <f aca="false">IF(G19="No Gap","Monitor / Maintain Lead",IF(J19&gt;=15,"High Priority",IF(J19&gt;=7,"Medium Priority","Low Priority")))</f>
        <v>Monitor / Maintain Lead</v>
      </c>
      <c r="L19" s="10" t="str">
        <f aca="false">IF(K19="High Priority","Build Immediately - Critical Gap (NOW)",IF(K19="Medium Priority","Add to Next Roadmap Cycle (NEXT)",IF(K19="Low Priority","Monitor &amp; Reassess Quarterly (LATER)","Maintain Current Position - Competitive Parity/Advantage")))</f>
        <v>Maintain Current Position - Competitive Parity/Advantage</v>
      </c>
    </row>
    <row r="20" customFormat="false" ht="15" hidden="false" customHeight="false" outlineLevel="0" collapsed="false">
      <c r="A20" s="7" t="s">
        <v>137</v>
      </c>
      <c r="B20" s="11" t="str">
        <f aca="false">INDEX(Benchmarking_Data!E:E,MATCH(A20,Benchmarking_Data!F:F,0))</f>
        <v>Integrations</v>
      </c>
      <c r="C20" s="11" t="n">
        <f aca="false">INDEX(Benchmarking_Data!I:I,MATCH(A20,Benchmarking_Data!F:F,0))</f>
        <v>0.5</v>
      </c>
      <c r="D20" s="11" t="n">
        <f aca="false">_xlfn.MAXIFS(Benchmarking_Data!J:J,Benchmarking_Data!F:F,A20)</f>
        <v>1</v>
      </c>
      <c r="E20" s="11" t="n">
        <f aca="false">INDEX(Benchmarking_Data!K:K,MATCH(A20,Benchmarking_Data!F:F,0))</f>
        <v>4</v>
      </c>
      <c r="F20" s="11" t="n">
        <f aca="false">INDEX(Benchmarking_Data!L:L,MATCH(A20,Benchmarking_Data!F:F,0))</f>
        <v>3</v>
      </c>
      <c r="G20" s="8" t="str">
        <f aca="false">IF(D20&gt;C20,"Gap","No Gap")</f>
        <v>Gap</v>
      </c>
      <c r="H20" s="8" t="n">
        <f aca="false">(D20-C20)*E20</f>
        <v>2</v>
      </c>
      <c r="I20" s="10" t="str">
        <f aca="false">IF(G20="No Gap","Not Applicable",IF(B20="Core Features","Critical Gap",IF(B20="Advanced Features","Strategic Gap",IF(B20="AI Features","Innovation Gap",IF(B20="Integrations","Integration Gap",IF(B20="Mobile Experience","Customer Experience Gap",IF(B20="Security","Technology Gap",IF(B20="Automation","Technology Gap",IF(B20="Reporting &amp; Analytics","Strategic Gap",IF(B20="Collaboration","Customer Experience Gap","Low-Priority Gap"))))))))))</f>
        <v>Integration Gap</v>
      </c>
      <c r="J20" s="8" t="n">
        <f aca="false">IF(H20&gt;0,H20*F20,0)</f>
        <v>6</v>
      </c>
      <c r="K20" s="9" t="str">
        <f aca="false">IF(G20="No Gap","Monitor / Maintain Lead",IF(J20&gt;=15,"High Priority",IF(J20&gt;=7,"Medium Priority","Low Priority")))</f>
        <v>Low Priority</v>
      </c>
      <c r="L20" s="10" t="str">
        <f aca="false">IF(K20="High Priority","Build Immediately - Critical Gap (NOW)",IF(K20="Medium Priority","Add to Next Roadmap Cycle (NEXT)",IF(K20="Low Priority","Monitor &amp; Reassess Quarterly (LATER)","Maintain Current Position - Competitive Parity/Advantage")))</f>
        <v>Monitor &amp; Reassess Quarterly (LATER)</v>
      </c>
    </row>
    <row r="21" customFormat="false" ht="15" hidden="false" customHeight="false" outlineLevel="0" collapsed="false">
      <c r="A21" s="7" t="s">
        <v>141</v>
      </c>
      <c r="B21" s="11" t="str">
        <f aca="false">INDEX(Benchmarking_Data!E:E,MATCH(A21,Benchmarking_Data!F:F,0))</f>
        <v>Integrations</v>
      </c>
      <c r="C21" s="11" t="n">
        <f aca="false">INDEX(Benchmarking_Data!I:I,MATCH(A21,Benchmarking_Data!F:F,0))</f>
        <v>0.5</v>
      </c>
      <c r="D21" s="11" t="n">
        <f aca="false">_xlfn.MAXIFS(Benchmarking_Data!J:J,Benchmarking_Data!F:F,A21)</f>
        <v>1</v>
      </c>
      <c r="E21" s="11" t="n">
        <f aca="false">INDEX(Benchmarking_Data!K:K,MATCH(A21,Benchmarking_Data!F:F,0))</f>
        <v>3</v>
      </c>
      <c r="F21" s="11" t="n">
        <f aca="false">INDEX(Benchmarking_Data!L:L,MATCH(A21,Benchmarking_Data!F:F,0))</f>
        <v>3</v>
      </c>
      <c r="G21" s="8" t="str">
        <f aca="false">IF(D21&gt;C21,"Gap","No Gap")</f>
        <v>Gap</v>
      </c>
      <c r="H21" s="8" t="n">
        <f aca="false">(D21-C21)*E21</f>
        <v>1.5</v>
      </c>
      <c r="I21" s="10" t="str">
        <f aca="false">IF(G21="No Gap","Not Applicable",IF(B21="Core Features","Critical Gap",IF(B21="Advanced Features","Strategic Gap",IF(B21="AI Features","Innovation Gap",IF(B21="Integrations","Integration Gap",IF(B21="Mobile Experience","Customer Experience Gap",IF(B21="Security","Technology Gap",IF(B21="Automation","Technology Gap",IF(B21="Reporting &amp; Analytics","Strategic Gap",IF(B21="Collaboration","Customer Experience Gap","Low-Priority Gap"))))))))))</f>
        <v>Integration Gap</v>
      </c>
      <c r="J21" s="8" t="n">
        <f aca="false">IF(H21&gt;0,H21*F21,0)</f>
        <v>4.5</v>
      </c>
      <c r="K21" s="9" t="str">
        <f aca="false">IF(G21="No Gap","Monitor / Maintain Lead",IF(J21&gt;=15,"High Priority",IF(J21&gt;=7,"Medium Priority","Low Priority")))</f>
        <v>Low Priority</v>
      </c>
      <c r="L21" s="10" t="str">
        <f aca="false">IF(K21="High Priority","Build Immediately - Critical Gap (NOW)",IF(K21="Medium Priority","Add to Next Roadmap Cycle (NEXT)",IF(K21="Low Priority","Monitor &amp; Reassess Quarterly (LATER)","Maintain Current Position - Competitive Parity/Advantage")))</f>
        <v>Monitor &amp; Reassess Quarterly (LATER)</v>
      </c>
    </row>
    <row r="22" customFormat="false" ht="23.85" hidden="false" customHeight="false" outlineLevel="0" collapsed="false">
      <c r="A22" s="7" t="s">
        <v>145</v>
      </c>
      <c r="B22" s="11" t="str">
        <f aca="false">INDEX(Benchmarking_Data!E:E,MATCH(A22,Benchmarking_Data!F:F,0))</f>
        <v>Integrations</v>
      </c>
      <c r="C22" s="11" t="n">
        <f aca="false">INDEX(Benchmarking_Data!I:I,MATCH(A22,Benchmarking_Data!F:F,0))</f>
        <v>1</v>
      </c>
      <c r="D22" s="11" t="n">
        <f aca="false">_xlfn.MAXIFS(Benchmarking_Data!J:J,Benchmarking_Data!F:F,A22)</f>
        <v>1</v>
      </c>
      <c r="E22" s="11" t="n">
        <f aca="false">INDEX(Benchmarking_Data!K:K,MATCH(A22,Benchmarking_Data!F:F,0))</f>
        <v>4</v>
      </c>
      <c r="F22" s="11" t="n">
        <f aca="false">INDEX(Benchmarking_Data!L:L,MATCH(A22,Benchmarking_Data!F:F,0))</f>
        <v>4</v>
      </c>
      <c r="G22" s="8" t="str">
        <f aca="false">IF(D22&gt;C22,"Gap","No Gap")</f>
        <v>No Gap</v>
      </c>
      <c r="H22" s="8" t="n">
        <f aca="false">(D22-C22)*E22</f>
        <v>0</v>
      </c>
      <c r="I22" s="10" t="str">
        <f aca="false">IF(G22="No Gap","Not Applicable",IF(B22="Core Features","Critical Gap",IF(B22="Advanced Features","Strategic Gap",IF(B22="AI Features","Innovation Gap",IF(B22="Integrations","Integration Gap",IF(B22="Mobile Experience","Customer Experience Gap",IF(B22="Security","Technology Gap",IF(B22="Automation","Technology Gap",IF(B22="Reporting &amp; Analytics","Strategic Gap",IF(B22="Collaboration","Customer Experience Gap","Low-Priority Gap"))))))))))</f>
        <v>Not Applicable</v>
      </c>
      <c r="J22" s="8" t="n">
        <f aca="false">IF(H22&gt;0,H22*F22,0)</f>
        <v>0</v>
      </c>
      <c r="K22" s="9" t="str">
        <f aca="false">IF(G22="No Gap","Monitor / Maintain Lead",IF(J22&gt;=15,"High Priority",IF(J22&gt;=7,"Medium Priority","Low Priority")))</f>
        <v>Monitor / Maintain Lead</v>
      </c>
      <c r="L22" s="10" t="str">
        <f aca="false">IF(K22="High Priority","Build Immediately - Critical Gap (NOW)",IF(K22="Medium Priority","Add to Next Roadmap Cycle (NEXT)",IF(K22="Low Priority","Monitor &amp; Reassess Quarterly (LATER)","Maintain Current Position - Competitive Parity/Advantage")))</f>
        <v>Maintain Current Position - Competitive Parity/Advantage</v>
      </c>
    </row>
    <row r="23" customFormat="false" ht="23.85" hidden="false" customHeight="false" outlineLevel="0" collapsed="false">
      <c r="A23" s="7" t="s">
        <v>150</v>
      </c>
      <c r="B23" s="11" t="str">
        <f aca="false">INDEX(Benchmarking_Data!E:E,MATCH(A23,Benchmarking_Data!F:F,0))</f>
        <v>Automation</v>
      </c>
      <c r="C23" s="11" t="n">
        <f aca="false">INDEX(Benchmarking_Data!I:I,MATCH(A23,Benchmarking_Data!F:F,0))</f>
        <v>1</v>
      </c>
      <c r="D23" s="11" t="n">
        <f aca="false">_xlfn.MAXIFS(Benchmarking_Data!J:J,Benchmarking_Data!F:F,A23)</f>
        <v>1</v>
      </c>
      <c r="E23" s="11" t="n">
        <f aca="false">INDEX(Benchmarking_Data!K:K,MATCH(A23,Benchmarking_Data!F:F,0))</f>
        <v>5</v>
      </c>
      <c r="F23" s="11" t="n">
        <f aca="false">INDEX(Benchmarking_Data!L:L,MATCH(A23,Benchmarking_Data!F:F,0))</f>
        <v>5</v>
      </c>
      <c r="G23" s="8" t="str">
        <f aca="false">IF(D23&gt;C23,"Gap","No Gap")</f>
        <v>No Gap</v>
      </c>
      <c r="H23" s="8" t="n">
        <f aca="false">(D23-C23)*E23</f>
        <v>0</v>
      </c>
      <c r="I23" s="10" t="str">
        <f aca="false">IF(G23="No Gap","Not Applicable",IF(B23="Core Features","Critical Gap",IF(B23="Advanced Features","Strategic Gap",IF(B23="AI Features","Innovation Gap",IF(B23="Integrations","Integration Gap",IF(B23="Mobile Experience","Customer Experience Gap",IF(B23="Security","Technology Gap",IF(B23="Automation","Technology Gap",IF(B23="Reporting &amp; Analytics","Strategic Gap",IF(B23="Collaboration","Customer Experience Gap","Low-Priority Gap"))))))))))</f>
        <v>Not Applicable</v>
      </c>
      <c r="J23" s="8" t="n">
        <f aca="false">IF(H23&gt;0,H23*F23,0)</f>
        <v>0</v>
      </c>
      <c r="K23" s="9" t="str">
        <f aca="false">IF(G23="No Gap","Monitor / Maintain Lead",IF(J23&gt;=15,"High Priority",IF(J23&gt;=7,"Medium Priority","Low Priority")))</f>
        <v>Monitor / Maintain Lead</v>
      </c>
      <c r="L23" s="10" t="str">
        <f aca="false">IF(K23="High Priority","Build Immediately - Critical Gap (NOW)",IF(K23="Medium Priority","Add to Next Roadmap Cycle (NEXT)",IF(K23="Low Priority","Monitor &amp; Reassess Quarterly (LATER)","Maintain Current Position - Competitive Parity/Advantage")))</f>
        <v>Maintain Current Position - Competitive Parity/Advantage</v>
      </c>
    </row>
    <row r="24" customFormat="false" ht="23.85" hidden="false" customHeight="false" outlineLevel="0" collapsed="false">
      <c r="A24" s="7" t="s">
        <v>154</v>
      </c>
      <c r="B24" s="11" t="str">
        <f aca="false">INDEX(Benchmarking_Data!E:E,MATCH(A24,Benchmarking_Data!F:F,0))</f>
        <v>Automation</v>
      </c>
      <c r="C24" s="11" t="n">
        <f aca="false">INDEX(Benchmarking_Data!I:I,MATCH(A24,Benchmarking_Data!F:F,0))</f>
        <v>1</v>
      </c>
      <c r="D24" s="11" t="n">
        <f aca="false">_xlfn.MAXIFS(Benchmarking_Data!J:J,Benchmarking_Data!F:F,A24)</f>
        <v>1</v>
      </c>
      <c r="E24" s="11" t="n">
        <f aca="false">INDEX(Benchmarking_Data!K:K,MATCH(A24,Benchmarking_Data!F:F,0))</f>
        <v>4</v>
      </c>
      <c r="F24" s="11" t="n">
        <f aca="false">INDEX(Benchmarking_Data!L:L,MATCH(A24,Benchmarking_Data!F:F,0))</f>
        <v>4</v>
      </c>
      <c r="G24" s="8" t="str">
        <f aca="false">IF(D24&gt;C24,"Gap","No Gap")</f>
        <v>No Gap</v>
      </c>
      <c r="H24" s="8" t="n">
        <f aca="false">(D24-C24)*E24</f>
        <v>0</v>
      </c>
      <c r="I24" s="10" t="str">
        <f aca="false">IF(G24="No Gap","Not Applicable",IF(B24="Core Features","Critical Gap",IF(B24="Advanced Features","Strategic Gap",IF(B24="AI Features","Innovation Gap",IF(B24="Integrations","Integration Gap",IF(B24="Mobile Experience","Customer Experience Gap",IF(B24="Security","Technology Gap",IF(B24="Automation","Technology Gap",IF(B24="Reporting &amp; Analytics","Strategic Gap",IF(B24="Collaboration","Customer Experience Gap","Low-Priority Gap"))))))))))</f>
        <v>Not Applicable</v>
      </c>
      <c r="J24" s="8" t="n">
        <f aca="false">IF(H24&gt;0,H24*F24,0)</f>
        <v>0</v>
      </c>
      <c r="K24" s="9" t="str">
        <f aca="false">IF(G24="No Gap","Monitor / Maintain Lead",IF(J24&gt;=15,"High Priority",IF(J24&gt;=7,"Medium Priority","Low Priority")))</f>
        <v>Monitor / Maintain Lead</v>
      </c>
      <c r="L24" s="10" t="str">
        <f aca="false">IF(K24="High Priority","Build Immediately - Critical Gap (NOW)",IF(K24="Medium Priority","Add to Next Roadmap Cycle (NEXT)",IF(K24="Low Priority","Monitor &amp; Reassess Quarterly (LATER)","Maintain Current Position - Competitive Parity/Advantage")))</f>
        <v>Maintain Current Position - Competitive Parity/Advantage</v>
      </c>
    </row>
    <row r="25" customFormat="false" ht="15" hidden="false" customHeight="false" outlineLevel="0" collapsed="false">
      <c r="A25" s="7" t="s">
        <v>158</v>
      </c>
      <c r="B25" s="11" t="str">
        <f aca="false">INDEX(Benchmarking_Data!E:E,MATCH(A25,Benchmarking_Data!F:F,0))</f>
        <v>Automation</v>
      </c>
      <c r="C25" s="11" t="n">
        <f aca="false">INDEX(Benchmarking_Data!I:I,MATCH(A25,Benchmarking_Data!F:F,0))</f>
        <v>0.5</v>
      </c>
      <c r="D25" s="11" t="n">
        <f aca="false">_xlfn.MAXIFS(Benchmarking_Data!J:J,Benchmarking_Data!F:F,A25)</f>
        <v>1</v>
      </c>
      <c r="E25" s="11" t="n">
        <f aca="false">INDEX(Benchmarking_Data!K:K,MATCH(A25,Benchmarking_Data!F:F,0))</f>
        <v>4</v>
      </c>
      <c r="F25" s="11" t="n">
        <f aca="false">INDEX(Benchmarking_Data!L:L,MATCH(A25,Benchmarking_Data!F:F,0))</f>
        <v>4</v>
      </c>
      <c r="G25" s="8" t="str">
        <f aca="false">IF(D25&gt;C25,"Gap","No Gap")</f>
        <v>Gap</v>
      </c>
      <c r="H25" s="8" t="n">
        <f aca="false">(D25-C25)*E25</f>
        <v>2</v>
      </c>
      <c r="I25" s="10" t="str">
        <f aca="false">IF(G25="No Gap","Not Applicable",IF(B25="Core Features","Critical Gap",IF(B25="Advanced Features","Strategic Gap",IF(B25="AI Features","Innovation Gap",IF(B25="Integrations","Integration Gap",IF(B25="Mobile Experience","Customer Experience Gap",IF(B25="Security","Technology Gap",IF(B25="Automation","Technology Gap",IF(B25="Reporting &amp; Analytics","Strategic Gap",IF(B25="Collaboration","Customer Experience Gap","Low-Priority Gap"))))))))))</f>
        <v>Technology Gap</v>
      </c>
      <c r="J25" s="8" t="n">
        <f aca="false">IF(H25&gt;0,H25*F25,0)</f>
        <v>8</v>
      </c>
      <c r="K25" s="9" t="str">
        <f aca="false">IF(G25="No Gap","Monitor / Maintain Lead",IF(J25&gt;=15,"High Priority",IF(J25&gt;=7,"Medium Priority","Low Priority")))</f>
        <v>Medium Priority</v>
      </c>
      <c r="L25" s="10" t="str">
        <f aca="false">IF(K25="High Priority","Build Immediately - Critical Gap (NOW)",IF(K25="Medium Priority","Add to Next Roadmap Cycle (NEXT)",IF(K25="Low Priority","Monitor &amp; Reassess Quarterly (LATER)","Maintain Current Position - Competitive Parity/Advantage")))</f>
        <v>Add to Next Roadmap Cycle (NEXT)</v>
      </c>
    </row>
    <row r="26" customFormat="false" ht="15" hidden="false" customHeight="false" outlineLevel="0" collapsed="false">
      <c r="A26" s="7" t="s">
        <v>163</v>
      </c>
      <c r="B26" s="11" t="str">
        <f aca="false">INDEX(Benchmarking_Data!E:E,MATCH(A26,Benchmarking_Data!F:F,0))</f>
        <v>Reporting &amp; Analytics</v>
      </c>
      <c r="C26" s="11" t="n">
        <f aca="false">INDEX(Benchmarking_Data!I:I,MATCH(A26,Benchmarking_Data!F:F,0))</f>
        <v>0.5</v>
      </c>
      <c r="D26" s="11" t="n">
        <f aca="false">_xlfn.MAXIFS(Benchmarking_Data!J:J,Benchmarking_Data!F:F,A26)</f>
        <v>1</v>
      </c>
      <c r="E26" s="11" t="n">
        <f aca="false">INDEX(Benchmarking_Data!K:K,MATCH(A26,Benchmarking_Data!F:F,0))</f>
        <v>4</v>
      </c>
      <c r="F26" s="11" t="n">
        <f aca="false">INDEX(Benchmarking_Data!L:L,MATCH(A26,Benchmarking_Data!F:F,0))</f>
        <v>4</v>
      </c>
      <c r="G26" s="8" t="str">
        <f aca="false">IF(D26&gt;C26,"Gap","No Gap")</f>
        <v>Gap</v>
      </c>
      <c r="H26" s="8" t="n">
        <f aca="false">(D26-C26)*E26</f>
        <v>2</v>
      </c>
      <c r="I26" s="10" t="str">
        <f aca="false">IF(G26="No Gap","Not Applicable",IF(B26="Core Features","Critical Gap",IF(B26="Advanced Features","Strategic Gap",IF(B26="AI Features","Innovation Gap",IF(B26="Integrations","Integration Gap",IF(B26="Mobile Experience","Customer Experience Gap",IF(B26="Security","Technology Gap",IF(B26="Automation","Technology Gap",IF(B26="Reporting &amp; Analytics","Strategic Gap",IF(B26="Collaboration","Customer Experience Gap","Low-Priority Gap"))))))))))</f>
        <v>Strategic Gap</v>
      </c>
      <c r="J26" s="8" t="n">
        <f aca="false">IF(H26&gt;0,H26*F26,0)</f>
        <v>8</v>
      </c>
      <c r="K26" s="9" t="str">
        <f aca="false">IF(G26="No Gap","Monitor / Maintain Lead",IF(J26&gt;=15,"High Priority",IF(J26&gt;=7,"Medium Priority","Low Priority")))</f>
        <v>Medium Priority</v>
      </c>
      <c r="L26" s="10" t="str">
        <f aca="false">IF(K26="High Priority","Build Immediately - Critical Gap (NOW)",IF(K26="Medium Priority","Add to Next Roadmap Cycle (NEXT)",IF(K26="Low Priority","Monitor &amp; Reassess Quarterly (LATER)","Maintain Current Position - Competitive Parity/Advantage")))</f>
        <v>Add to Next Roadmap Cycle (NEXT)</v>
      </c>
    </row>
    <row r="27" customFormat="false" ht="23.85" hidden="false" customHeight="false" outlineLevel="0" collapsed="false">
      <c r="A27" s="7" t="s">
        <v>167</v>
      </c>
      <c r="B27" s="11" t="str">
        <f aca="false">INDEX(Benchmarking_Data!E:E,MATCH(A27,Benchmarking_Data!F:F,0))</f>
        <v>Reporting &amp; Analytics</v>
      </c>
      <c r="C27" s="11" t="n">
        <f aca="false">INDEX(Benchmarking_Data!I:I,MATCH(A27,Benchmarking_Data!F:F,0))</f>
        <v>1</v>
      </c>
      <c r="D27" s="11" t="n">
        <f aca="false">_xlfn.MAXIFS(Benchmarking_Data!J:J,Benchmarking_Data!F:F,A27)</f>
        <v>1</v>
      </c>
      <c r="E27" s="11" t="n">
        <f aca="false">INDEX(Benchmarking_Data!K:K,MATCH(A27,Benchmarking_Data!F:F,0))</f>
        <v>5</v>
      </c>
      <c r="F27" s="11" t="n">
        <f aca="false">INDEX(Benchmarking_Data!L:L,MATCH(A27,Benchmarking_Data!F:F,0))</f>
        <v>5</v>
      </c>
      <c r="G27" s="8" t="str">
        <f aca="false">IF(D27&gt;C27,"Gap","No Gap")</f>
        <v>No Gap</v>
      </c>
      <c r="H27" s="8" t="n">
        <f aca="false">(D27-C27)*E27</f>
        <v>0</v>
      </c>
      <c r="I27" s="10" t="str">
        <f aca="false">IF(G27="No Gap","Not Applicable",IF(B27="Core Features","Critical Gap",IF(B27="Advanced Features","Strategic Gap",IF(B27="AI Features","Innovation Gap",IF(B27="Integrations","Integration Gap",IF(B27="Mobile Experience","Customer Experience Gap",IF(B27="Security","Technology Gap",IF(B27="Automation","Technology Gap",IF(B27="Reporting &amp; Analytics","Strategic Gap",IF(B27="Collaboration","Customer Experience Gap","Low-Priority Gap"))))))))))</f>
        <v>Not Applicable</v>
      </c>
      <c r="J27" s="8" t="n">
        <f aca="false">IF(H27&gt;0,H27*F27,0)</f>
        <v>0</v>
      </c>
      <c r="K27" s="9" t="str">
        <f aca="false">IF(G27="No Gap","Monitor / Maintain Lead",IF(J27&gt;=15,"High Priority",IF(J27&gt;=7,"Medium Priority","Low Priority")))</f>
        <v>Monitor / Maintain Lead</v>
      </c>
      <c r="L27" s="10" t="str">
        <f aca="false">IF(K27="High Priority","Build Immediately - Critical Gap (NOW)",IF(K27="Medium Priority","Add to Next Roadmap Cycle (NEXT)",IF(K27="Low Priority","Monitor &amp; Reassess Quarterly (LATER)","Maintain Current Position - Competitive Parity/Advantage")))</f>
        <v>Maintain Current Position - Competitive Parity/Advantage</v>
      </c>
    </row>
    <row r="28" customFormat="false" ht="23.85" hidden="false" customHeight="false" outlineLevel="0" collapsed="false">
      <c r="A28" s="7" t="s">
        <v>171</v>
      </c>
      <c r="B28" s="11" t="str">
        <f aca="false">INDEX(Benchmarking_Data!E:E,MATCH(A28,Benchmarking_Data!F:F,0))</f>
        <v>Reporting &amp; Analytics</v>
      </c>
      <c r="C28" s="11" t="n">
        <f aca="false">INDEX(Benchmarking_Data!I:I,MATCH(A28,Benchmarking_Data!F:F,0))</f>
        <v>1</v>
      </c>
      <c r="D28" s="11" t="n">
        <f aca="false">_xlfn.MAXIFS(Benchmarking_Data!J:J,Benchmarking_Data!F:F,A28)</f>
        <v>1</v>
      </c>
      <c r="E28" s="11" t="n">
        <f aca="false">INDEX(Benchmarking_Data!K:K,MATCH(A28,Benchmarking_Data!F:F,0))</f>
        <v>5</v>
      </c>
      <c r="F28" s="11" t="n">
        <f aca="false">INDEX(Benchmarking_Data!L:L,MATCH(A28,Benchmarking_Data!F:F,0))</f>
        <v>4</v>
      </c>
      <c r="G28" s="8" t="str">
        <f aca="false">IF(D28&gt;C28,"Gap","No Gap")</f>
        <v>No Gap</v>
      </c>
      <c r="H28" s="8" t="n">
        <f aca="false">(D28-C28)*E28</f>
        <v>0</v>
      </c>
      <c r="I28" s="10" t="str">
        <f aca="false">IF(G28="No Gap","Not Applicable",IF(B28="Core Features","Critical Gap",IF(B28="Advanced Features","Strategic Gap",IF(B28="AI Features","Innovation Gap",IF(B28="Integrations","Integration Gap",IF(B28="Mobile Experience","Customer Experience Gap",IF(B28="Security","Technology Gap",IF(B28="Automation","Technology Gap",IF(B28="Reporting &amp; Analytics","Strategic Gap",IF(B28="Collaboration","Customer Experience Gap","Low-Priority Gap"))))))))))</f>
        <v>Not Applicable</v>
      </c>
      <c r="J28" s="8" t="n">
        <f aca="false">IF(H28&gt;0,H28*F28,0)</f>
        <v>0</v>
      </c>
      <c r="K28" s="9" t="str">
        <f aca="false">IF(G28="No Gap","Monitor / Maintain Lead",IF(J28&gt;=15,"High Priority",IF(J28&gt;=7,"Medium Priority","Low Priority")))</f>
        <v>Monitor / Maintain Lead</v>
      </c>
      <c r="L28" s="10" t="str">
        <f aca="false">IF(K28="High Priority","Build Immediately - Critical Gap (NOW)",IF(K28="Medium Priority","Add to Next Roadmap Cycle (NEXT)",IF(K28="Low Priority","Monitor &amp; Reassess Quarterly (LATER)","Maintain Current Position - Competitive Parity/Advantage")))</f>
        <v>Maintain Current Position - Competitive Parity/Advantage</v>
      </c>
    </row>
    <row r="29" customFormat="false" ht="15" hidden="false" customHeight="false" outlineLevel="0" collapsed="false">
      <c r="A29" s="7" t="s">
        <v>176</v>
      </c>
      <c r="B29" s="11" t="str">
        <f aca="false">INDEX(Benchmarking_Data!E:E,MATCH(A29,Benchmarking_Data!F:F,0))</f>
        <v>Mobile Experience</v>
      </c>
      <c r="C29" s="11" t="n">
        <f aca="false">INDEX(Benchmarking_Data!I:I,MATCH(A29,Benchmarking_Data!F:F,0))</f>
        <v>0</v>
      </c>
      <c r="D29" s="11" t="n">
        <f aca="false">_xlfn.MAXIFS(Benchmarking_Data!J:J,Benchmarking_Data!F:F,A29)</f>
        <v>1</v>
      </c>
      <c r="E29" s="11" t="n">
        <f aca="false">INDEX(Benchmarking_Data!K:K,MATCH(A29,Benchmarking_Data!F:F,0))</f>
        <v>4</v>
      </c>
      <c r="F29" s="11" t="n">
        <f aca="false">INDEX(Benchmarking_Data!L:L,MATCH(A29,Benchmarking_Data!F:F,0))</f>
        <v>4</v>
      </c>
      <c r="G29" s="8" t="str">
        <f aca="false">IF(D29&gt;C29,"Gap","No Gap")</f>
        <v>Gap</v>
      </c>
      <c r="H29" s="8" t="n">
        <f aca="false">(D29-C29)*E29</f>
        <v>4</v>
      </c>
      <c r="I29" s="10" t="str">
        <f aca="false">IF(G29="No Gap","Not Applicable",IF(B29="Core Features","Critical Gap",IF(B29="Advanced Features","Strategic Gap",IF(B29="AI Features","Innovation Gap",IF(B29="Integrations","Integration Gap",IF(B29="Mobile Experience","Customer Experience Gap",IF(B29="Security","Technology Gap",IF(B29="Automation","Technology Gap",IF(B29="Reporting &amp; Analytics","Strategic Gap",IF(B29="Collaboration","Customer Experience Gap","Low-Priority Gap"))))))))))</f>
        <v>Customer Experience Gap</v>
      </c>
      <c r="J29" s="8" t="n">
        <f aca="false">IF(H29&gt;0,H29*F29,0)</f>
        <v>16</v>
      </c>
      <c r="K29" s="9" t="str">
        <f aca="false">IF(G29="No Gap","Monitor / Maintain Lead",IF(J29&gt;=15,"High Priority",IF(J29&gt;=7,"Medium Priority","Low Priority")))</f>
        <v>High Priority</v>
      </c>
      <c r="L29" s="10" t="str">
        <f aca="false">IF(K29="High Priority","Build Immediately - Critical Gap (NOW)",IF(K29="Medium Priority","Add to Next Roadmap Cycle (NEXT)",IF(K29="Low Priority","Monitor &amp; Reassess Quarterly (LATER)","Maintain Current Position - Competitive Parity/Advantage")))</f>
        <v>Build Immediately - Critical Gap (NOW)</v>
      </c>
    </row>
    <row r="30" customFormat="false" ht="15" hidden="false" customHeight="false" outlineLevel="0" collapsed="false">
      <c r="A30" s="7" t="s">
        <v>180</v>
      </c>
      <c r="B30" s="11" t="str">
        <f aca="false">INDEX(Benchmarking_Data!E:E,MATCH(A30,Benchmarking_Data!F:F,0))</f>
        <v>Mobile Experience</v>
      </c>
      <c r="C30" s="11" t="n">
        <f aca="false">INDEX(Benchmarking_Data!I:I,MATCH(A30,Benchmarking_Data!F:F,0))</f>
        <v>0</v>
      </c>
      <c r="D30" s="11" t="n">
        <f aca="false">_xlfn.MAXIFS(Benchmarking_Data!J:J,Benchmarking_Data!F:F,A30)</f>
        <v>1</v>
      </c>
      <c r="E30" s="11" t="n">
        <f aca="false">INDEX(Benchmarking_Data!K:K,MATCH(A30,Benchmarking_Data!F:F,0))</f>
        <v>3</v>
      </c>
      <c r="F30" s="11" t="n">
        <f aca="false">INDEX(Benchmarking_Data!L:L,MATCH(A30,Benchmarking_Data!F:F,0))</f>
        <v>3</v>
      </c>
      <c r="G30" s="8" t="str">
        <f aca="false">IF(D30&gt;C30,"Gap","No Gap")</f>
        <v>Gap</v>
      </c>
      <c r="H30" s="8" t="n">
        <f aca="false">(D30-C30)*E30</f>
        <v>3</v>
      </c>
      <c r="I30" s="10" t="str">
        <f aca="false">IF(G30="No Gap","Not Applicable",IF(B30="Core Features","Critical Gap",IF(B30="Advanced Features","Strategic Gap",IF(B30="AI Features","Innovation Gap",IF(B30="Integrations","Integration Gap",IF(B30="Mobile Experience","Customer Experience Gap",IF(B30="Security","Technology Gap",IF(B30="Automation","Technology Gap",IF(B30="Reporting &amp; Analytics","Strategic Gap",IF(B30="Collaboration","Customer Experience Gap","Low-Priority Gap"))))))))))</f>
        <v>Customer Experience Gap</v>
      </c>
      <c r="J30" s="8" t="n">
        <f aca="false">IF(H30&gt;0,H30*F30,0)</f>
        <v>9</v>
      </c>
      <c r="K30" s="9" t="str">
        <f aca="false">IF(G30="No Gap","Monitor / Maintain Lead",IF(J30&gt;=15,"High Priority",IF(J30&gt;=7,"Medium Priority","Low Priority")))</f>
        <v>Medium Priority</v>
      </c>
      <c r="L30" s="10" t="str">
        <f aca="false">IF(K30="High Priority","Build Immediately - Critical Gap (NOW)",IF(K30="Medium Priority","Add to Next Roadmap Cycle (NEXT)",IF(K30="Low Priority","Monitor &amp; Reassess Quarterly (LATER)","Maintain Current Position - Competitive Parity/Advantage")))</f>
        <v>Add to Next Roadmap Cycle (NEXT)</v>
      </c>
    </row>
    <row r="31" customFormat="false" ht="23.85" hidden="false" customHeight="false" outlineLevel="0" collapsed="false">
      <c r="A31" s="7" t="s">
        <v>185</v>
      </c>
      <c r="B31" s="11" t="str">
        <f aca="false">INDEX(Benchmarking_Data!E:E,MATCH(A31,Benchmarking_Data!F:F,0))</f>
        <v>Security</v>
      </c>
      <c r="C31" s="11" t="n">
        <f aca="false">INDEX(Benchmarking_Data!I:I,MATCH(A31,Benchmarking_Data!F:F,0))</f>
        <v>1</v>
      </c>
      <c r="D31" s="11" t="n">
        <f aca="false">_xlfn.MAXIFS(Benchmarking_Data!J:J,Benchmarking_Data!F:F,A31)</f>
        <v>0.5</v>
      </c>
      <c r="E31" s="11" t="n">
        <f aca="false">INDEX(Benchmarking_Data!K:K,MATCH(A31,Benchmarking_Data!F:F,0))</f>
        <v>4</v>
      </c>
      <c r="F31" s="11" t="n">
        <f aca="false">INDEX(Benchmarking_Data!L:L,MATCH(A31,Benchmarking_Data!F:F,0))</f>
        <v>3</v>
      </c>
      <c r="G31" s="8" t="str">
        <f aca="false">IF(D31&gt;C31,"Gap","No Gap")</f>
        <v>No Gap</v>
      </c>
      <c r="H31" s="8" t="n">
        <f aca="false">(D31-C31)*E31</f>
        <v>-2</v>
      </c>
      <c r="I31" s="10" t="str">
        <f aca="false">IF(G31="No Gap","Not Applicable",IF(B31="Core Features","Critical Gap",IF(B31="Advanced Features","Strategic Gap",IF(B31="AI Features","Innovation Gap",IF(B31="Integrations","Integration Gap",IF(B31="Mobile Experience","Customer Experience Gap",IF(B31="Security","Technology Gap",IF(B31="Automation","Technology Gap",IF(B31="Reporting &amp; Analytics","Strategic Gap",IF(B31="Collaboration","Customer Experience Gap","Low-Priority Gap"))))))))))</f>
        <v>Not Applicable</v>
      </c>
      <c r="J31" s="8" t="n">
        <f aca="false">IF(H31&gt;0,H31*F31,0)</f>
        <v>0</v>
      </c>
      <c r="K31" s="9" t="str">
        <f aca="false">IF(G31="No Gap","Monitor / Maintain Lead",IF(J31&gt;=15,"High Priority",IF(J31&gt;=7,"Medium Priority","Low Priority")))</f>
        <v>Monitor / Maintain Lead</v>
      </c>
      <c r="L31" s="10" t="str">
        <f aca="false">IF(K31="High Priority","Build Immediately - Critical Gap (NOW)",IF(K31="Medium Priority","Add to Next Roadmap Cycle (NEXT)",IF(K31="Low Priority","Monitor &amp; Reassess Quarterly (LATER)","Maintain Current Position - Competitive Parity/Advantage")))</f>
        <v>Maintain Current Position - Competitive Parity/Advantage</v>
      </c>
    </row>
    <row r="32" customFormat="false" ht="23.85" hidden="false" customHeight="false" outlineLevel="0" collapsed="false">
      <c r="A32" s="7" t="s">
        <v>189</v>
      </c>
      <c r="B32" s="11" t="str">
        <f aca="false">INDEX(Benchmarking_Data!E:E,MATCH(A32,Benchmarking_Data!F:F,0))</f>
        <v>Security</v>
      </c>
      <c r="C32" s="11" t="n">
        <f aca="false">INDEX(Benchmarking_Data!I:I,MATCH(A32,Benchmarking_Data!F:F,0))</f>
        <v>1</v>
      </c>
      <c r="D32" s="11" t="n">
        <f aca="false">_xlfn.MAXIFS(Benchmarking_Data!J:J,Benchmarking_Data!F:F,A32)</f>
        <v>1</v>
      </c>
      <c r="E32" s="11" t="n">
        <f aca="false">INDEX(Benchmarking_Data!K:K,MATCH(A32,Benchmarking_Data!F:F,0))</f>
        <v>5</v>
      </c>
      <c r="F32" s="11" t="n">
        <f aca="false">INDEX(Benchmarking_Data!L:L,MATCH(A32,Benchmarking_Data!F:F,0))</f>
        <v>4</v>
      </c>
      <c r="G32" s="8" t="str">
        <f aca="false">IF(D32&gt;C32,"Gap","No Gap")</f>
        <v>No Gap</v>
      </c>
      <c r="H32" s="8" t="n">
        <f aca="false">(D32-C32)*E32</f>
        <v>0</v>
      </c>
      <c r="I32" s="10" t="str">
        <f aca="false">IF(G32="No Gap","Not Applicable",IF(B32="Core Features","Critical Gap",IF(B32="Advanced Features","Strategic Gap",IF(B32="AI Features","Innovation Gap",IF(B32="Integrations","Integration Gap",IF(B32="Mobile Experience","Customer Experience Gap",IF(B32="Security","Technology Gap",IF(B32="Automation","Technology Gap",IF(B32="Reporting &amp; Analytics","Strategic Gap",IF(B32="Collaboration","Customer Experience Gap","Low-Priority Gap"))))))))))</f>
        <v>Not Applicable</v>
      </c>
      <c r="J32" s="8" t="n">
        <f aca="false">IF(H32&gt;0,H32*F32,0)</f>
        <v>0</v>
      </c>
      <c r="K32" s="9" t="str">
        <f aca="false">IF(G32="No Gap","Monitor / Maintain Lead",IF(J32&gt;=15,"High Priority",IF(J32&gt;=7,"Medium Priority","Low Priority")))</f>
        <v>Monitor / Maintain Lead</v>
      </c>
      <c r="L32" s="10" t="str">
        <f aca="false">IF(K32="High Priority","Build Immediately - Critical Gap (NOW)",IF(K32="Medium Priority","Add to Next Roadmap Cycle (NEXT)",IF(K32="Low Priority","Monitor &amp; Reassess Quarterly (LATER)","Maintain Current Position - Competitive Parity/Advantage")))</f>
        <v>Maintain Current Position - Competitive Parity/Advantage</v>
      </c>
    </row>
    <row r="33" customFormat="false" ht="23.85" hidden="false" customHeight="false" outlineLevel="0" collapsed="false">
      <c r="A33" s="7" t="s">
        <v>193</v>
      </c>
      <c r="B33" s="11" t="str">
        <f aca="false">INDEX(Benchmarking_Data!E:E,MATCH(A33,Benchmarking_Data!F:F,0))</f>
        <v>Security</v>
      </c>
      <c r="C33" s="11" t="n">
        <f aca="false">INDEX(Benchmarking_Data!I:I,MATCH(A33,Benchmarking_Data!F:F,0))</f>
        <v>1</v>
      </c>
      <c r="D33" s="11" t="n">
        <f aca="false">_xlfn.MAXIFS(Benchmarking_Data!J:J,Benchmarking_Data!F:F,A33)</f>
        <v>0.5</v>
      </c>
      <c r="E33" s="11" t="n">
        <f aca="false">INDEX(Benchmarking_Data!K:K,MATCH(A33,Benchmarking_Data!F:F,0))</f>
        <v>3</v>
      </c>
      <c r="F33" s="11" t="n">
        <f aca="false">INDEX(Benchmarking_Data!L:L,MATCH(A33,Benchmarking_Data!F:F,0))</f>
        <v>3</v>
      </c>
      <c r="G33" s="8" t="str">
        <f aca="false">IF(D33&gt;C33,"Gap","No Gap")</f>
        <v>No Gap</v>
      </c>
      <c r="H33" s="8" t="n">
        <f aca="false">(D33-C33)*E33</f>
        <v>-1.5</v>
      </c>
      <c r="I33" s="10" t="str">
        <f aca="false">IF(G33="No Gap","Not Applicable",IF(B33="Core Features","Critical Gap",IF(B33="Advanced Features","Strategic Gap",IF(B33="AI Features","Innovation Gap",IF(B33="Integrations","Integration Gap",IF(B33="Mobile Experience","Customer Experience Gap",IF(B33="Security","Technology Gap",IF(B33="Automation","Technology Gap",IF(B33="Reporting &amp; Analytics","Strategic Gap",IF(B33="Collaboration","Customer Experience Gap","Low-Priority Gap"))))))))))</f>
        <v>Not Applicable</v>
      </c>
      <c r="J33" s="8" t="n">
        <f aca="false">IF(H33&gt;0,H33*F33,0)</f>
        <v>0</v>
      </c>
      <c r="K33" s="9" t="str">
        <f aca="false">IF(G33="No Gap","Monitor / Maintain Lead",IF(J33&gt;=15,"High Priority",IF(J33&gt;=7,"Medium Priority","Low Priority")))</f>
        <v>Monitor / Maintain Lead</v>
      </c>
      <c r="L33" s="10" t="str">
        <f aca="false">IF(K33="High Priority","Build Immediately - Critical Gap (NOW)",IF(K33="Medium Priority","Add to Next Roadmap Cycle (NEXT)",IF(K33="Low Priority","Monitor &amp; Reassess Quarterly (LATER)","Maintain Current Position - Competitive Parity/Advantage")))</f>
        <v>Maintain Current Position - Competitive Parity/Advantage</v>
      </c>
    </row>
    <row r="34" customFormat="false" ht="15" hidden="false" customHeight="false" outlineLevel="0" collapsed="false">
      <c r="A34" s="7" t="s">
        <v>198</v>
      </c>
      <c r="B34" s="11" t="str">
        <f aca="false">INDEX(Benchmarking_Data!E:E,MATCH(A34,Benchmarking_Data!F:F,0))</f>
        <v>Collaboration</v>
      </c>
      <c r="C34" s="11" t="n">
        <f aca="false">INDEX(Benchmarking_Data!I:I,MATCH(A34,Benchmarking_Data!F:F,0))</f>
        <v>0.5</v>
      </c>
      <c r="D34" s="11" t="n">
        <f aca="false">_xlfn.MAXIFS(Benchmarking_Data!J:J,Benchmarking_Data!F:F,A34)</f>
        <v>1</v>
      </c>
      <c r="E34" s="11" t="n">
        <f aca="false">INDEX(Benchmarking_Data!K:K,MATCH(A34,Benchmarking_Data!F:F,0))</f>
        <v>4</v>
      </c>
      <c r="F34" s="11" t="n">
        <f aca="false">INDEX(Benchmarking_Data!L:L,MATCH(A34,Benchmarking_Data!F:F,0))</f>
        <v>4</v>
      </c>
      <c r="G34" s="8" t="str">
        <f aca="false">IF(D34&gt;C34,"Gap","No Gap")</f>
        <v>Gap</v>
      </c>
      <c r="H34" s="8" t="n">
        <f aca="false">(D34-C34)*E34</f>
        <v>2</v>
      </c>
      <c r="I34" s="10" t="str">
        <f aca="false">IF(G34="No Gap","Not Applicable",IF(B34="Core Features","Critical Gap",IF(B34="Advanced Features","Strategic Gap",IF(B34="AI Features","Innovation Gap",IF(B34="Integrations","Integration Gap",IF(B34="Mobile Experience","Customer Experience Gap",IF(B34="Security","Technology Gap",IF(B34="Automation","Technology Gap",IF(B34="Reporting &amp; Analytics","Strategic Gap",IF(B34="Collaboration","Customer Experience Gap","Low-Priority Gap"))))))))))</f>
        <v>Customer Experience Gap</v>
      </c>
      <c r="J34" s="8" t="n">
        <f aca="false">IF(H34&gt;0,H34*F34,0)</f>
        <v>8</v>
      </c>
      <c r="K34" s="9" t="str">
        <f aca="false">IF(G34="No Gap","Monitor / Maintain Lead",IF(J34&gt;=15,"High Priority",IF(J34&gt;=7,"Medium Priority","Low Priority")))</f>
        <v>Medium Priority</v>
      </c>
      <c r="L34" s="10" t="str">
        <f aca="false">IF(K34="High Priority","Build Immediately - Critical Gap (NOW)",IF(K34="Medium Priority","Add to Next Roadmap Cycle (NEXT)",IF(K34="Low Priority","Monitor &amp; Reassess Quarterly (LATER)","Maintain Current Position - Competitive Parity/Advantage")))</f>
        <v>Add to Next Roadmap Cycle (NEXT)</v>
      </c>
    </row>
    <row r="35" customFormat="false" ht="23.85" hidden="false" customHeight="false" outlineLevel="0" collapsed="false">
      <c r="A35" s="7" t="s">
        <v>202</v>
      </c>
      <c r="B35" s="11" t="str">
        <f aca="false">INDEX(Benchmarking_Data!E:E,MATCH(A35,Benchmarking_Data!F:F,0))</f>
        <v>Collaboration</v>
      </c>
      <c r="C35" s="11" t="n">
        <f aca="false">INDEX(Benchmarking_Data!I:I,MATCH(A35,Benchmarking_Data!F:F,0))</f>
        <v>1</v>
      </c>
      <c r="D35" s="11" t="n">
        <f aca="false">_xlfn.MAXIFS(Benchmarking_Data!J:J,Benchmarking_Data!F:F,A35)</f>
        <v>1</v>
      </c>
      <c r="E35" s="11" t="n">
        <f aca="false">INDEX(Benchmarking_Data!K:K,MATCH(A35,Benchmarking_Data!F:F,0))</f>
        <v>3</v>
      </c>
      <c r="F35" s="11" t="n">
        <f aca="false">INDEX(Benchmarking_Data!L:L,MATCH(A35,Benchmarking_Data!F:F,0))</f>
        <v>3</v>
      </c>
      <c r="G35" s="8" t="str">
        <f aca="false">IF(D35&gt;C35,"Gap","No Gap")</f>
        <v>No Gap</v>
      </c>
      <c r="H35" s="8" t="n">
        <f aca="false">(D35-C35)*E35</f>
        <v>0</v>
      </c>
      <c r="I35" s="10" t="str">
        <f aca="false">IF(G35="No Gap","Not Applicable",IF(B35="Core Features","Critical Gap",IF(B35="Advanced Features","Strategic Gap",IF(B35="AI Features","Innovation Gap",IF(B35="Integrations","Integration Gap",IF(B35="Mobile Experience","Customer Experience Gap",IF(B35="Security","Technology Gap",IF(B35="Automation","Technology Gap",IF(B35="Reporting &amp; Analytics","Strategic Gap",IF(B35="Collaboration","Customer Experience Gap","Low-Priority Gap"))))))))))</f>
        <v>Not Applicable</v>
      </c>
      <c r="J35" s="8" t="n">
        <f aca="false">IF(H35&gt;0,H35*F35,0)</f>
        <v>0</v>
      </c>
      <c r="K35" s="9" t="str">
        <f aca="false">IF(G35="No Gap","Monitor / Maintain Lead",IF(J35&gt;=15,"High Priority",IF(J35&gt;=7,"Medium Priority","Low Priority")))</f>
        <v>Monitor / Maintain Lead</v>
      </c>
      <c r="L35" s="10" t="str">
        <f aca="false">IF(K35="High Priority","Build Immediately - Critical Gap (NOW)",IF(K35="Medium Priority","Add to Next Roadmap Cycle (NEXT)",IF(K35="Low Priority","Monitor &amp; Reassess Quarterly (LATER)","Maintain Current Position - Competitive Parity/Advantage")))</f>
        <v>Maintain Current Position - Competitive Parity/Advantage</v>
      </c>
    </row>
    <row r="36" customFormat="false" ht="15" hidden="false" customHeight="false" outlineLevel="0" collapsed="false">
      <c r="A36" s="7" t="s">
        <v>207</v>
      </c>
      <c r="B36" s="11" t="str">
        <f aca="false">INDEX(Benchmarking_Data!E:E,MATCH(A36,Benchmarking_Data!F:F,0))</f>
        <v>Customization</v>
      </c>
      <c r="C36" s="11" t="n">
        <f aca="false">INDEX(Benchmarking_Data!I:I,MATCH(A36,Benchmarking_Data!F:F,0))</f>
        <v>0.5</v>
      </c>
      <c r="D36" s="11" t="n">
        <f aca="false">_xlfn.MAXIFS(Benchmarking_Data!J:J,Benchmarking_Data!F:F,A36)</f>
        <v>1</v>
      </c>
      <c r="E36" s="11" t="n">
        <f aca="false">INDEX(Benchmarking_Data!K:K,MATCH(A36,Benchmarking_Data!F:F,0))</f>
        <v>3</v>
      </c>
      <c r="F36" s="11" t="n">
        <f aca="false">INDEX(Benchmarking_Data!L:L,MATCH(A36,Benchmarking_Data!F:F,0))</f>
        <v>3</v>
      </c>
      <c r="G36" s="8" t="str">
        <f aca="false">IF(D36&gt;C36,"Gap","No Gap")</f>
        <v>Gap</v>
      </c>
      <c r="H36" s="8" t="n">
        <f aca="false">(D36-C36)*E36</f>
        <v>1.5</v>
      </c>
      <c r="I36" s="10" t="str">
        <f aca="false">IF(G36="No Gap","Not Applicable",IF(B36="Core Features","Critical Gap",IF(B36="Advanced Features","Strategic Gap",IF(B36="AI Features","Innovation Gap",IF(B36="Integrations","Integration Gap",IF(B36="Mobile Experience","Customer Experience Gap",IF(B36="Security","Technology Gap",IF(B36="Automation","Technology Gap",IF(B36="Reporting &amp; Analytics","Strategic Gap",IF(B36="Collaboration","Customer Experience Gap","Low-Priority Gap"))))))))))</f>
        <v>Low-Priority Gap</v>
      </c>
      <c r="J36" s="8" t="n">
        <f aca="false">IF(H36&gt;0,H36*F36,0)</f>
        <v>4.5</v>
      </c>
      <c r="K36" s="9" t="str">
        <f aca="false">IF(G36="No Gap","Monitor / Maintain Lead",IF(J36&gt;=15,"High Priority",IF(J36&gt;=7,"Medium Priority","Low Priority")))</f>
        <v>Low Priority</v>
      </c>
      <c r="L36" s="10" t="str">
        <f aca="false">IF(K36="High Priority","Build Immediately - Critical Gap (NOW)",IF(K36="Medium Priority","Add to Next Roadmap Cycle (NEXT)",IF(K36="Low Priority","Monitor &amp; Reassess Quarterly (LATER)","Maintain Current Position - Competitive Parity/Advantage")))</f>
        <v>Monitor &amp; Reassess Quarterly (LATER)</v>
      </c>
    </row>
  </sheetData>
  <autoFilter ref="A1:L36"/>
  <conditionalFormatting sqref="K2:K36">
    <cfRule type="cellIs" priority="2" operator="equal" aboveAverage="0" equalAverage="0" bottom="0" percent="0" rank="0" text="" dxfId="8">
      <formula>"High Priority"</formula>
    </cfRule>
    <cfRule type="cellIs" priority="3" operator="equal" aboveAverage="0" equalAverage="0" bottom="0" percent="0" rank="0" text="" dxfId="9">
      <formula>"Medium Priority"</formula>
    </cfRule>
    <cfRule type="cellIs" priority="4" operator="equal" aboveAverage="0" equalAverage="0" bottom="0" percent="0" rank="0" text="" dxfId="10">
      <formula>"Low Priority"</formula>
    </cfRule>
    <cfRule type="cellIs" priority="5" operator="equal" aboveAverage="0" equalAverage="0" bottom="0" percent="0" rank="0" text="" dxfId="13">
      <formula>"Monitor / Maintain Lead"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2026-08-18T07:39:02Z</dcterms:created>
  <dc:creator>openpyxl</dc:creator>
  <dc:description/>
  <dc:language>en-US</dc:language>
  <cp:lastModifiedBy/>
  <dcterms:modified xsi:type="dcterms:W3CDTF">2026-08-18T07:39:02Z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